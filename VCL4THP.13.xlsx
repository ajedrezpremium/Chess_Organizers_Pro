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6" tabRatio="500"/>
  </bookViews>
  <sheets>
    <sheet name="VCL" sheetId="1" r:id="rId1"/>
    <sheet name="Glossary" sheetId="2" r:id="rId2"/>
  </sheets>
  <calcPr calcId="114210"/>
</workbook>
</file>

<file path=xl/calcChain.xml><?xml version="1.0" encoding="utf-8"?>
<calcChain xmlns="http://schemas.openxmlformats.org/spreadsheetml/2006/main">
  <c r="A15" i="1"/>
  <c r="A16"/>
  <c r="A17"/>
  <c r="A18"/>
  <c r="A19"/>
  <c r="A21"/>
  <c r="A22"/>
  <c r="A23"/>
  <c r="A24"/>
  <c r="A25"/>
  <c r="A26"/>
  <c r="A27"/>
  <c r="A28"/>
  <c r="A29"/>
  <c r="A31"/>
  <c r="A32"/>
  <c r="A33"/>
  <c r="A34"/>
  <c r="A36"/>
  <c r="A37"/>
  <c r="A38"/>
  <c r="A39"/>
  <c r="A40"/>
  <c r="A51"/>
  <c r="A52"/>
  <c r="A53"/>
  <c r="A54"/>
  <c r="A55"/>
  <c r="A56"/>
  <c r="A57"/>
  <c r="A58"/>
  <c r="A59"/>
  <c r="A60"/>
  <c r="A61"/>
  <c r="A62"/>
  <c r="A63"/>
  <c r="A64"/>
  <c r="A65"/>
  <c r="A67"/>
  <c r="A68"/>
  <c r="A69"/>
  <c r="A70"/>
  <c r="A71"/>
  <c r="A72"/>
  <c r="A73"/>
  <c r="A75"/>
  <c r="A76"/>
  <c r="A77"/>
  <c r="A78"/>
  <c r="A79"/>
  <c r="A80"/>
  <c r="A81"/>
  <c r="A82"/>
  <c r="A83"/>
  <c r="A84"/>
  <c r="A86"/>
  <c r="A87"/>
  <c r="A88"/>
  <c r="A89"/>
  <c r="A90"/>
  <c r="A91"/>
  <c r="A92"/>
  <c r="A94"/>
  <c r="A95"/>
  <c r="A96"/>
  <c r="A97"/>
  <c r="A98"/>
  <c r="A99"/>
  <c r="A101"/>
  <c r="A102"/>
  <c r="A103"/>
  <c r="A104"/>
  <c r="A105"/>
  <c r="A106"/>
  <c r="A107"/>
  <c r="A108"/>
  <c r="A109"/>
  <c r="A110"/>
  <c r="A111"/>
  <c r="A112"/>
  <c r="A113"/>
  <c r="A114"/>
  <c r="A115"/>
  <c r="A116"/>
  <c r="A117"/>
  <c r="A118"/>
  <c r="A119"/>
  <c r="A121"/>
  <c r="A122"/>
  <c r="A123"/>
  <c r="A124"/>
  <c r="A125"/>
  <c r="A126"/>
  <c r="A127"/>
  <c r="A128"/>
  <c r="A129"/>
  <c r="A130"/>
  <c r="A131"/>
  <c r="A132"/>
  <c r="A133"/>
  <c r="A134"/>
  <c r="A135"/>
  <c r="A136"/>
  <c r="A155"/>
  <c r="A157"/>
  <c r="A158"/>
  <c r="A159"/>
  <c r="A160"/>
  <c r="A161"/>
  <c r="A162"/>
  <c r="A164"/>
  <c r="A165"/>
  <c r="A166"/>
  <c r="A167"/>
  <c r="A169"/>
  <c r="A170"/>
  <c r="A171"/>
  <c r="A172"/>
  <c r="A173"/>
  <c r="A174"/>
  <c r="A175"/>
  <c r="A176"/>
  <c r="A177"/>
  <c r="A178"/>
  <c r="A179"/>
  <c r="A180"/>
  <c r="A181"/>
  <c r="A182"/>
  <c r="A183"/>
  <c r="A184"/>
  <c r="A185"/>
  <c r="A186"/>
  <c r="A187"/>
  <c r="A188"/>
  <c r="A189"/>
  <c r="A190"/>
  <c r="A191"/>
  <c r="A192"/>
  <c r="A193"/>
  <c r="A194"/>
  <c r="A195"/>
  <c r="A196"/>
  <c r="A197"/>
  <c r="A199"/>
  <c r="A206"/>
  <c r="A207"/>
  <c r="A208"/>
  <c r="A209"/>
  <c r="A210"/>
  <c r="A211"/>
  <c r="A212"/>
  <c r="A213"/>
  <c r="A214"/>
  <c r="A215"/>
  <c r="A216"/>
  <c r="A218"/>
  <c r="A219"/>
  <c r="A220"/>
  <c r="A221"/>
  <c r="A222"/>
  <c r="A223"/>
  <c r="A224"/>
  <c r="A225"/>
  <c r="A226"/>
  <c r="A227"/>
  <c r="A228"/>
  <c r="A229"/>
  <c r="A230"/>
  <c r="A232"/>
  <c r="A233"/>
  <c r="A234"/>
  <c r="A235"/>
  <c r="A236"/>
  <c r="A237"/>
  <c r="A238"/>
  <c r="A239"/>
  <c r="A240"/>
  <c r="A241"/>
  <c r="A242"/>
  <c r="A243"/>
  <c r="A244"/>
  <c r="A245"/>
  <c r="A246"/>
  <c r="A247"/>
  <c r="A248"/>
  <c r="A249"/>
  <c r="A250"/>
  <c r="A252"/>
  <c r="A253"/>
  <c r="A254"/>
  <c r="A255"/>
  <c r="A256"/>
  <c r="A258"/>
  <c r="A259"/>
  <c r="A260"/>
  <c r="A262"/>
  <c r="A263"/>
  <c r="A264"/>
  <c r="A304"/>
  <c r="A305"/>
  <c r="A306"/>
  <c r="A307"/>
  <c r="A308"/>
  <c r="A309"/>
  <c r="A310"/>
  <c r="G309"/>
  <c r="D309"/>
  <c r="A311"/>
  <c r="G310"/>
  <c r="D310"/>
  <c r="A312"/>
  <c r="A313"/>
  <c r="A314"/>
  <c r="A315"/>
  <c r="A316"/>
  <c r="A317"/>
  <c r="A318"/>
  <c r="A319"/>
  <c r="A320"/>
  <c r="A322"/>
  <c r="A323"/>
  <c r="A324"/>
  <c r="A325"/>
  <c r="A326"/>
  <c r="G325"/>
  <c r="G324"/>
  <c r="D324"/>
  <c r="G176"/>
  <c r="D14"/>
  <c r="G14"/>
  <c r="D15"/>
  <c r="G15"/>
  <c r="D16"/>
  <c r="G16"/>
  <c r="D17"/>
  <c r="G17"/>
  <c r="D18"/>
  <c r="G18"/>
  <c r="D19"/>
  <c r="D21"/>
  <c r="D22"/>
  <c r="G22"/>
  <c r="D23"/>
  <c r="D24"/>
  <c r="G24"/>
  <c r="D25"/>
  <c r="G25"/>
  <c r="D26"/>
  <c r="G26"/>
  <c r="D27"/>
  <c r="D28"/>
  <c r="D29"/>
  <c r="D31"/>
  <c r="G31"/>
  <c r="D32"/>
  <c r="D33"/>
  <c r="G33"/>
  <c r="D34"/>
  <c r="D36"/>
  <c r="D37"/>
  <c r="D38"/>
  <c r="G38"/>
  <c r="D39"/>
  <c r="D40"/>
  <c r="D51"/>
  <c r="D52"/>
  <c r="G52"/>
  <c r="D53"/>
  <c r="G53"/>
  <c r="D54"/>
  <c r="G54"/>
  <c r="D55"/>
  <c r="G55"/>
  <c r="G56"/>
  <c r="D57"/>
  <c r="D58"/>
  <c r="G58"/>
  <c r="D59"/>
  <c r="D60"/>
  <c r="G60"/>
  <c r="G61"/>
  <c r="D62"/>
  <c r="G62"/>
  <c r="D65"/>
  <c r="D63"/>
  <c r="G63"/>
  <c r="D64"/>
  <c r="G64"/>
  <c r="G65"/>
  <c r="D67"/>
  <c r="G67"/>
  <c r="D68"/>
  <c r="D69"/>
  <c r="G69"/>
  <c r="D70"/>
  <c r="D71"/>
  <c r="G71"/>
  <c r="G72"/>
  <c r="D73"/>
  <c r="G73"/>
  <c r="D75"/>
  <c r="G75"/>
  <c r="D76"/>
  <c r="G76"/>
  <c r="D77"/>
  <c r="G77"/>
  <c r="D78"/>
  <c r="G78"/>
  <c r="D79"/>
  <c r="G79"/>
  <c r="D80"/>
  <c r="G80"/>
  <c r="D81"/>
  <c r="G81"/>
  <c r="D82"/>
  <c r="D83"/>
  <c r="G83"/>
  <c r="D84"/>
  <c r="D86"/>
  <c r="G86"/>
  <c r="D87"/>
  <c r="D88"/>
  <c r="G88"/>
  <c r="D89"/>
  <c r="D90"/>
  <c r="G90"/>
  <c r="D91"/>
  <c r="G91"/>
  <c r="D92"/>
  <c r="D94"/>
  <c r="D95"/>
  <c r="D96"/>
  <c r="G96"/>
  <c r="D97"/>
  <c r="G97"/>
  <c r="D98"/>
  <c r="D99"/>
  <c r="G99"/>
  <c r="D101"/>
  <c r="D102"/>
  <c r="G102"/>
  <c r="G103"/>
  <c r="D104"/>
  <c r="G104"/>
  <c r="G105"/>
  <c r="D106"/>
  <c r="G106"/>
  <c r="D107"/>
  <c r="D108"/>
  <c r="G108"/>
  <c r="D109"/>
  <c r="D110"/>
  <c r="D111"/>
  <c r="G111"/>
  <c r="G112"/>
  <c r="D113"/>
  <c r="G113"/>
  <c r="G114"/>
  <c r="D115"/>
  <c r="G115"/>
  <c r="D116"/>
  <c r="G116"/>
  <c r="D118"/>
  <c r="G118"/>
  <c r="D119"/>
  <c r="D121"/>
  <c r="G121"/>
  <c r="D122"/>
  <c r="G122"/>
  <c r="D123"/>
  <c r="G123"/>
  <c r="D124"/>
  <c r="G125"/>
  <c r="D126"/>
  <c r="G126"/>
  <c r="D127"/>
  <c r="D128"/>
  <c r="G128"/>
  <c r="D129"/>
  <c r="G129"/>
  <c r="D130"/>
  <c r="G130"/>
  <c r="D131"/>
  <c r="G131"/>
  <c r="D132"/>
  <c r="G132"/>
  <c r="D133"/>
  <c r="G133"/>
  <c r="D134"/>
  <c r="G134"/>
  <c r="D135"/>
  <c r="D136"/>
  <c r="G155"/>
  <c r="D157"/>
  <c r="D158"/>
  <c r="G158"/>
  <c r="D159"/>
  <c r="G160"/>
  <c r="G161"/>
  <c r="D164"/>
  <c r="G164"/>
  <c r="D165"/>
  <c r="G165"/>
  <c r="D166"/>
  <c r="G166"/>
  <c r="D167"/>
  <c r="G167"/>
  <c r="D169"/>
  <c r="G169"/>
  <c r="D170"/>
  <c r="G170"/>
  <c r="D171"/>
  <c r="G171"/>
  <c r="D172"/>
  <c r="G172"/>
  <c r="D173"/>
  <c r="D174"/>
  <c r="G174"/>
  <c r="D175"/>
  <c r="D176"/>
  <c r="D177"/>
  <c r="G177"/>
  <c r="D178"/>
  <c r="D179"/>
  <c r="G179"/>
  <c r="D180"/>
  <c r="G180"/>
  <c r="D181"/>
  <c r="G181"/>
  <c r="D182"/>
  <c r="G182"/>
  <c r="D183"/>
  <c r="G183"/>
  <c r="D184"/>
  <c r="G184"/>
  <c r="D185"/>
  <c r="G185"/>
  <c r="D186"/>
  <c r="G186"/>
  <c r="D187"/>
  <c r="G187"/>
  <c r="D188"/>
  <c r="G188"/>
  <c r="D189"/>
  <c r="G189"/>
  <c r="D190"/>
  <c r="D191"/>
  <c r="G190"/>
  <c r="G191"/>
  <c r="D192"/>
  <c r="G192"/>
  <c r="D193"/>
  <c r="G193"/>
  <c r="D194"/>
  <c r="G194"/>
  <c r="D195"/>
  <c r="G195"/>
  <c r="D196"/>
  <c r="G196"/>
  <c r="D197"/>
  <c r="G197"/>
  <c r="D199"/>
  <c r="G199"/>
  <c r="D206"/>
  <c r="G206"/>
  <c r="D207"/>
  <c r="G207"/>
  <c r="D208"/>
  <c r="G208"/>
  <c r="D209"/>
  <c r="G209"/>
  <c r="D210"/>
  <c r="G210"/>
  <c r="D211"/>
  <c r="G211"/>
  <c r="D212"/>
  <c r="D213"/>
  <c r="G213"/>
  <c r="D214"/>
  <c r="G214"/>
  <c r="D215"/>
  <c r="G215"/>
  <c r="D216"/>
  <c r="G216"/>
  <c r="D218"/>
  <c r="D219"/>
  <c r="G219"/>
  <c r="D220"/>
  <c r="D221"/>
  <c r="G221"/>
  <c r="G222"/>
  <c r="D223"/>
  <c r="D224"/>
  <c r="G224"/>
  <c r="D225"/>
  <c r="D226"/>
  <c r="G225"/>
  <c r="G226"/>
  <c r="D227"/>
  <c r="G227"/>
  <c r="G228"/>
  <c r="D229"/>
  <c r="G229"/>
  <c r="D230"/>
  <c r="D232"/>
  <c r="G232"/>
  <c r="D233"/>
  <c r="D234"/>
  <c r="D235"/>
  <c r="G235"/>
  <c r="D236"/>
  <c r="G236"/>
  <c r="D237"/>
  <c r="G237"/>
  <c r="D238"/>
  <c r="G238"/>
  <c r="D239"/>
  <c r="G239"/>
  <c r="D240"/>
  <c r="G240"/>
  <c r="D241"/>
  <c r="G241"/>
  <c r="D242"/>
  <c r="G243"/>
  <c r="G244"/>
  <c r="D245"/>
  <c r="G246"/>
  <c r="D247"/>
  <c r="G247"/>
  <c r="D248"/>
  <c r="D249"/>
  <c r="G249"/>
  <c r="D250"/>
  <c r="G250"/>
  <c r="G252"/>
  <c r="D253"/>
  <c r="G254"/>
  <c r="D255"/>
  <c r="G255"/>
  <c r="D256"/>
  <c r="G256"/>
  <c r="D258"/>
  <c r="G258"/>
  <c r="D259"/>
  <c r="G260"/>
  <c r="D262"/>
  <c r="G262"/>
  <c r="D263"/>
  <c r="G263"/>
  <c r="D264"/>
  <c r="D304"/>
  <c r="G304"/>
  <c r="D305"/>
  <c r="D306"/>
  <c r="G306"/>
  <c r="D307"/>
  <c r="G307"/>
  <c r="D308"/>
  <c r="G308"/>
  <c r="D311"/>
  <c r="G311"/>
  <c r="D312"/>
  <c r="G312"/>
  <c r="D313"/>
  <c r="G313"/>
  <c r="D314"/>
  <c r="G314"/>
  <c r="D315"/>
  <c r="G315"/>
  <c r="D316"/>
  <c r="G316"/>
  <c r="D317"/>
  <c r="G317"/>
  <c r="D318"/>
  <c r="G318"/>
  <c r="D319"/>
  <c r="G319"/>
  <c r="D320"/>
  <c r="G320"/>
  <c r="D322"/>
  <c r="G322"/>
  <c r="D323"/>
  <c r="G323"/>
  <c r="A327"/>
  <c r="D326"/>
  <c r="G326"/>
  <c r="A329"/>
  <c r="D327"/>
  <c r="G327"/>
  <c r="A330"/>
  <c r="G329"/>
  <c r="A331"/>
  <c r="D330"/>
</calcChain>
</file>

<file path=xl/sharedStrings.xml><?xml version="1.0" encoding="utf-8"?>
<sst xmlns="http://schemas.openxmlformats.org/spreadsheetml/2006/main" count="686" uniqueCount="535">
  <si>
    <t>Does the THP's RTG provide a non-CLI interface that can be used free of charge by any stakeholder?</t>
  </si>
  <si>
    <t>3</t>
  </si>
  <si>
    <t>Although acceptable, a non-CLI interface is not the preferred way to access the RTG.</t>
  </si>
  <si>
    <t>Inconsistent answers. Since the THP provides an RTG, it must provide either a CLI interface or a non-CLI interface.</t>
  </si>
  <si>
    <t>Can the following tournament parameters be configured in the THP's RTG?</t>
  </si>
  <si>
    <t>The THP's RTG must allow the configuration of all the listed tournament parameters.</t>
  </si>
  <si>
    <t>Number of players</t>
  </si>
  <si>
    <t>Number of rounds</t>
  </si>
  <si>
    <t>Fixed number or percentage of full-point byes (possibly on a round-by-round basis)</t>
  </si>
  <si>
    <t>Fixed number or percentage of half-point byes (possibly on a round-by-round basis)</t>
  </si>
  <si>
    <t>Fixed number or percentage of zero-point byes (possibly on a round-by-round basis)</t>
  </si>
  <si>
    <t>Fixed number or percentage of forfeit wins (possibly on a round-by-round basis)</t>
  </si>
  <si>
    <t>Fixed number or percentage of forfeit losses (possibly on a round-by-round basis)</t>
  </si>
  <si>
    <t>Fixed number or percentage of unusual over-the-board results such as ½-0, 0-½ or 0-0 (possibly on a round-by-round basis)</t>
  </si>
  <si>
    <t>Use of the Baku Acceleration Method</t>
  </si>
  <si>
    <t>Tie-Break List</t>
  </si>
  <si>
    <t>When one or more configurable parameters are not specified by the user, does the THP's RTG assign appropriate values to them, preferably by generating them randomly, or, where applicable, by calculating them according to a logical formula based on the available parameters (i.e., always using the same fixed values is not acceptable)?</t>
  </si>
  <si>
    <t>Unspecified configurable parameters must not always be assigned the same fixed values.</t>
  </si>
  <si>
    <t>Does the THP's RTG provide at least one way to determine the players' ratings, either by user input, by parameters, or by random generation?</t>
  </si>
  <si>
    <t>25</t>
  </si>
  <si>
    <t>A THP's RTG unable to determine player ratings through user input, parameters, or random generation has very limited usefulness for tournament simulations.</t>
  </si>
  <si>
    <t>Can the players' ratings used by the THP's RTG be specified by the user?</t>
  </si>
  <si>
    <t>Allowing the user to specify the players' ratings would improve the RTG's usefulness.</t>
  </si>
  <si>
    <t>Can the players' ratings used by the THP's RTG be parametrized (e.g., minimum/maximum rating, constant/minimum/maximum rating difference between consecutive TPNs, etc.)?</t>
  </si>
  <si>
    <t>It would be useful if the user could define limits for the random generation of player ratings.</t>
  </si>
  <si>
    <t>Are the players' ratings used by the THP's RTG generated randomly?</t>
  </si>
  <si>
    <t>7</t>
  </si>
  <si>
    <t>The main purpose of an RTG is to generate random tournaments, with only the explicitly specified parameters being fixed.</t>
  </si>
  <si>
    <t>When the THP's RTG is repeatedly invoked with the same values for the configurable parameters (number of players, number of rounds, byes, forfeits, acceleration settings, and tie-break list), does the THP's RTG always produce the same TRF report?</t>
  </si>
  <si>
    <t>The generation is not random if the THP's RTG always produces the same TRF report when invoked with the same configurable parameters.</t>
  </si>
  <si>
    <t>Do the TRF reports produced by the THP's RTG describe tournaments in which all pairings complied with the pairing rules and the final standings were determined by the tie-break list mentioned in the report?</t>
  </si>
  <si>
    <t>The TRF reports produced by the THP's RTG must describe tournaments with correct pairings and standings determined according to the reported tie-break list.</t>
  </si>
  <si>
    <t>Do the game results produced by the THP's RTG follow the probabilities given by the FIDE rating table such that, in a random sample of, say, 1,000 RTG-generated tournaments where the same player has the same rating in each tournament, the rating variation of each player across all tournaments is close to zero?</t>
  </si>
  <si>
    <t>A high-quality RTG should generate game results statistically consistent with the probabilities given by the FIDE rating table.</t>
  </si>
  <si>
    <t>Have the pairing and tie-break engines employed by the THP been tested against another publicly available pairing and tie-break engine, with at least 50,000 random tournaments generated by the RTG of each engine and verified by the PTC of the other engine?</t>
  </si>
  <si>
    <t>This is a mandatory test for the THP's PTC and RTG.</t>
  </si>
  <si>
    <t>When the THP's pairing and tie-break engines are tested against other engines, are more than 10 discrepancies detected by either PTC?</t>
  </si>
  <si>
    <t>When the THP's pairing and tie-break engines are tested against other engines, did any group of discrepancies indicate that they were caused by errors in the THP's engines?</t>
  </si>
  <si>
    <t>It is unacceptable for the THP's pairing and tie-break engines not to comply with the pairing and tie-break rules.</t>
  </si>
  <si>
    <t>When the THP's pairing and tie-break engines are tested against other engines, did any group of discrepancies indicate that they were caused by errors in the other engines?</t>
  </si>
  <si>
    <t>When the THP's pairing and tie-break engines are tested against other engines, were discrepancies attributed to the other engines reported to TEC or to the author of the other engines?</t>
  </si>
  <si>
    <t>Cooperation among THP manufacturers, and between manufacturers and TEC, is essential for resolving discrepancies.</t>
  </si>
  <si>
    <t>When the THP's pairing and tie-break engines are tested against other engines, did any group of discrepancies indicate that they were caused by different interpretations of the pairing or tie-break rules?</t>
  </si>
  <si>
    <t>When the THP's pairing and tie-break engines are tested against other engines, were discrepancies attributed to different interpretations of the pairing or tie-break rules reported to TEC?</t>
  </si>
  <si>
    <t>50</t>
  </si>
  <si>
    <t>Cooperation with TEC is essential for resolving discrepancies related to the pairing rules.</t>
  </si>
  <si>
    <t>FIDE MODE</t>
  </si>
  <si>
    <t>Is FIDE mode the default operating mode?</t>
  </si>
  <si>
    <t>Is there a mechanism (such as a button, a checkbox, or a specific condition) that allows the user to enter FIDE Mode (e.g., at the start of a new tournament)?</t>
  </si>
  <si>
    <t>A THP that, implicitly or explicitly, does not operate in FIDE mode cannot be accepted.</t>
  </si>
  <si>
    <t>Can the THP exit FIDE Mode (and thus perform operations that would not be permitted in FIDE Mode)?</t>
  </si>
  <si>
    <t xml:space="preserve"> </t>
  </si>
  <si>
    <t>Is a Level-4 warning displayed to indicate that the user is exiting FIDE Mode?</t>
  </si>
  <si>
    <t>A THP must protect the user, so exiting FIDE Mode must be prevented at all costs.</t>
  </si>
  <si>
    <t>Is it noted in the TRF report with a comment (###) that the THP exited FIDE Mode at a given round?</t>
  </si>
  <si>
    <t>After the THP exits FIDE Mode, subsequent tournament data can no longer be presumed reliable. Anyone manually verifying the TRF must therefore be informed of the round from which enhanced scrutiny is required.</t>
  </si>
  <si>
    <t>Once users exit FIDE Mode, can they re-enter it?</t>
  </si>
  <si>
    <t>The THP is designed to protect the user. If the user decides to exit FIDE Mode, the THP cannot guarantee that they will be able to re-enter it under the established conditions.</t>
  </si>
  <si>
    <t>Does the THP permanently indicate to the user that the program is not running in FIDE Mode?</t>
  </si>
  <si>
    <t>The user should be kept continuously informed when the THP is not operating in FIDE Mode.</t>
  </si>
  <si>
    <t>TRF IMPORT</t>
  </si>
  <si>
    <t>Does the THP perform imports from TRF06?</t>
  </si>
  <si>
    <t>Support for importing TRF06 files is recommended.</t>
  </si>
  <si>
    <t>Does the THP inform the user of all adjustments made to compensate for the limitations of TRF06 relative to TRF26?</t>
  </si>
  <si>
    <t>The user needs to know whatever adjustments the THP made.</t>
  </si>
  <si>
    <t>Does the THP perform imports from TRF16?</t>
  </si>
  <si>
    <t>Support for importing TRF16 files is recommended.</t>
  </si>
  <si>
    <t>Does the THP inform the user of all adjustments made to compensate for the limitations of TRF16 relative to TRF26?</t>
  </si>
  <si>
    <t>If the input TRF to be imported has some defects, does the THP try to import it anyway?</t>
  </si>
  <si>
    <t>Does the THP inform the user about all the adjustments that were performed to import an input TRF with some defects?</t>
  </si>
  <si>
    <t>If because of some defects in the input file, a TRF26 import cannot be performed, does the THP show the user the encountered issues?</t>
  </si>
  <si>
    <t>The user needs to know which issues prevented the TRF26 import so that they can correct the input file.</t>
  </si>
  <si>
    <t>After a TRF import, does the THP check whether the imported rounds (if any) follow the proper pairing rules?</t>
  </si>
  <si>
    <t>The THP must protect the user from incorrect pairings. It therefore cannot accept TRFs containing such pairings without informing the user.</t>
  </si>
  <si>
    <t>After importing a TRF, if the imported tournament did not comply with the pairing rules, does the THP issue at least a Level-3 warning and add a comment (###) to the TRF report?</t>
  </si>
  <si>
    <t>Fulfilling all the provisions requested by the IMPORT PIBE is strongly recommended.</t>
  </si>
  <si>
    <t>After a TRF import, is the system automatically in FIDE Mode?</t>
  </si>
  <si>
    <t>If the system is not automatically in FIDE Mode, how can one switch it to that mode?</t>
  </si>
  <si>
    <t>NUMBER OF ROUNDS</t>
  </si>
  <si>
    <t>Can the number of rounds be changed after the tournament has started?</t>
  </si>
  <si>
    <t>If the number of rounds is changed after the tournament has started, is a Level-4 warning issued?</t>
  </si>
  <si>
    <t>The number of rounds cannot be changed (see C.04.1:1).</t>
  </si>
  <si>
    <t>If the user changes the number of rounds in the tournament after the start of the tournament, is the event noted in the TRF with a comment (###)?</t>
  </si>
  <si>
    <t>It is recommended to log meaningful events, and to use comments (###) as stopgaps.</t>
  </si>
  <si>
    <t>When the user changes the number of rounds in a tournament, does the THP note whether the status of the most recently paired round (if any) has changed from final to non-final, or vice versa, and, if so, check whether the pairings for that round are correct?</t>
  </si>
  <si>
    <t>The THP must protect the user from wrong pairings. So the user must be informed of any event that may change the integrity of the pairings.</t>
  </si>
  <si>
    <t>When the user changes the number of rounds in a tournament and that event causes the pairings of the most recently played round to become incorrect, does the THP issue at least a Level-3 warning and add a comment (###) to the TRF report?</t>
  </si>
  <si>
    <t>If changing the number of rounds during a tournament causes pairing-integrity issues, the change cannot be recommended, even if the user accepts the consequences.</t>
  </si>
  <si>
    <t>Fulfilling all the provisions requested by the Configuration PIBE is strongly recommended.</t>
  </si>
  <si>
    <t>Will the THP warn the user before starting a tournament whenever the tournament configuration would make it impossible to complete all rounds in compliance with the pairing rules?</t>
  </si>
  <si>
    <t>The THP should not hinder the arbiter's goal of starting and, more importantly, finishing the tournament.</t>
  </si>
  <si>
    <t>When the tournament configuration makes it impossible to complete the tournament in compliance with the pairing rules (for example, because there are fewer players than rounds), does the THP provide a manual or semi-automatic pairing mode that allows the tournament to be completed?</t>
  </si>
  <si>
    <t>Users must be given the option to manage tournaments even when they cannot be completed in compliance with the pairing rules.</t>
  </si>
  <si>
    <t>MANUAL PAIRING</t>
  </si>
  <si>
    <t>Is it possible to manually create or modify the pairings for a round?</t>
  </si>
  <si>
    <t>The regulations foresee situations in which an arbiter may change the pairings (see C.04.2:4.4).</t>
  </si>
  <si>
    <t>Can the THP clearly identify the beginning (whether explicit or implicit) and the end of a Manual Pairing Alteration process?</t>
  </si>
  <si>
    <t>If the Manual Pairing Alteration process does not have identifiable boundaries, especially a clearly defined end, it would be impossible to determine when to verify the manually introduced pairings.</t>
  </si>
  <si>
    <t>During the Manual Pairing Alteration process, does the THP issue at least a Level-3 Warning if the user creates a pairing or bye assignment that results in any of the following: the repetition of a game already played over-the-board, a prohibited pairing, a pairing-allocated bye being assigned to an ineligible player or to a player who does not meet the minimum score requirement, or a "triple colour" violation before the last round (three consecutive identical colours or a colour imbalance greater than two)?</t>
  </si>
  <si>
    <t xml:space="preserve">The MPA PIBE recommendations say that a Level-3 warning must be issued in those circumstances. </t>
  </si>
  <si>
    <t>During the Manual Pairing Alteration process, is a warning issued if two paired players are both assigned a colour opposite to the expected colour?</t>
  </si>
  <si>
    <t>In an individual tournament, both players cannot simultaneously receive the wrong colour. The user must therefore be warned, although this situation is not explicitly addressed by the MPA PIBE recommendations.</t>
  </si>
  <si>
    <t>At the end of the Manual Pairing Alteration process, is a check performed to verify the accuracy of the pairings prepared by the user?</t>
  </si>
  <si>
    <t>Since the THP, by definition, has a Pairing Checker, it is not acceptable for it to have such a limitation.</t>
  </si>
  <si>
    <t>If the pairings differ from the correct pairings, is a warning of at least Level 3 issued to the user describing the discrepancies, and is the event noted in the TRF with a comment (###)?</t>
  </si>
  <si>
    <t xml:space="preserve">Fulfilling all the provisions requested by the MPA PIBE is strongly recommended. </t>
  </si>
  <si>
    <t>SCORING SYSTEM</t>
  </si>
  <si>
    <t>By default, is the standard scoring system (1, ½, 0) available?</t>
  </si>
  <si>
    <t>It is unacceptable that the standard method of assigning points has not been implemented.</t>
  </si>
  <si>
    <t>Is it possible to define a scoring system different from the standard one (1, ½, 0)?</t>
  </si>
  <si>
    <t>It is recommended that a THP support scoring systems other than the standard system.</t>
  </si>
  <si>
    <t>Is it possible to define the 3-1-0 scoring system?</t>
  </si>
  <si>
    <t>It is recommended that a THP supports the 3-1-0 scoring system.</t>
  </si>
  <si>
    <t>Is it possible to define a custom scoring system?</t>
  </si>
  <si>
    <t>Is it possible to set up a scoring system where two draws are worth more than one win plus one loss?</t>
  </si>
  <si>
    <t>Two draws would count for more than the maximum points awarded for one game (i.e., a win; see Laws of Chess 10.2).</t>
  </si>
  <si>
    <t>Is it possible to change the scoring system during the tournament?</t>
  </si>
  <si>
    <t>When the user changes the scoring system during a tournament, does the THP check whether the pairings remain correct for all rounds already paired?</t>
  </si>
  <si>
    <t>The THP must protect the user and inform them that their recent action has breached the integrity of the pairings.</t>
  </si>
  <si>
    <t>When the user changes the scoring system during a tournament and the change causes the pairings of already paired rounds to become incorrect, does the THP issue at least a Level-3 warning and add a comment (###) to the TRF report?</t>
  </si>
  <si>
    <t>If changing the scoring system during a tournament causes pairing-integrity issues, the change cannot be recommended, even if the user accepts the consequences.</t>
  </si>
  <si>
    <t>When the scoring system is changed during a tournament, are the points from rounds already played adjusted in accordance with the new scoring system?</t>
  </si>
  <si>
    <t>It is unacceptable that different scoring systems may be used in different rounds.</t>
  </si>
  <si>
    <t>Is it possible to set the PAB (even implicitly, i.e. by default) to a number of points equal to that required for a win?</t>
  </si>
  <si>
    <t>Failure to comply with one of the default principles of Swiss systems (see C.04.1:3).</t>
  </si>
  <si>
    <t>Is it possible to set a different number of points for the PAB than the number of points required for a win?</t>
  </si>
  <si>
    <t>A THP that cannot assign a PAB value different from the points awarded for a win has a severe limitation.</t>
  </si>
  <si>
    <t>Is it possible to set a higher point total for the PAB than the one required for a win?</t>
  </si>
  <si>
    <t>Is it possible to assign a different number of points to the PAB than the number required for a win or a draw?</t>
  </si>
  <si>
    <t>If the standard scoring system is used, is it possible to assign values other than 1, ½, or 0 to the PAB?</t>
  </si>
  <si>
    <t>If the standard scoring system is not used, is it possible to assign different values to the PAB than those designated for a win, draw, or loss, provided that those values are less than the number of points assigned for the win and can be achieved by a sequence of standard results (for example, if the scoring system is 3-1-0, is it possible to assign two points to the PAB)?</t>
  </si>
  <si>
    <t>No rule states otherwise.</t>
  </si>
  <si>
    <t>Is it possible to change the PAB value during a tournament?</t>
  </si>
  <si>
    <t>When the user changes the PAB value during a tournament, does the THP check whether the pairings remain correct for all rounds already paired?</t>
  </si>
  <si>
    <t>When the user changes the PAB value during a tournament and the change causes the pairings of already paired rounds to become incorrect, does the THP issue at least a Level-3 warning and add a comment (###) to the TRF report?</t>
  </si>
  <si>
    <t>If changing the PAB value during a tournament causes pairing-integrity issues, the change cannot be recommended, even if the user accepts the consequences.</t>
  </si>
  <si>
    <t>Fulfilling all provisions required by the Configuration PIBE is strongly recommended.</t>
  </si>
  <si>
    <t>When the PAB value is changed during a tournament, are the points of players who have already received a PAB adjusted in accordance with the new PAB value?</t>
  </si>
  <si>
    <t>Having different values for the PAB in different rounds is against C.04.1:4.</t>
  </si>
  <si>
    <t>ROUND-ROBINS AND OTHER PAIRING SYSTEMS</t>
  </si>
  <si>
    <t>Does the THP offer pairing systems other than FIDE (Dutch)?</t>
  </si>
  <si>
    <t>A THP that does not provide at least the round-robin system as an alternative pairing system has a severe limitation.</t>
  </si>
  <si>
    <t>Does the THP provide Swiss pairing systems other than the FIDE (Dutch) system?</t>
  </si>
  <si>
    <t>A THP that provides alternative Swiss systems is more complete than one that does not.</t>
  </si>
  <si>
    <t>Is it possible to select a Swiss pairing system for which a TAPC has not been obtained or the process of obtaining one has not yet begun?</t>
  </si>
  <si>
    <t>If the THP allows the user to select a Swiss pairing system not described in the FIDE Handbook, can the detailed pairing rules be printed directly from the THP, or are precise instructions provided for obtaining them?</t>
  </si>
  <si>
    <t>C.04.2:1.2.2 is not being followed.</t>
  </si>
  <si>
    <t>Once a tournament is underway, is it possible to change the pairing system?</t>
  </si>
  <si>
    <t>There do not appear to be any rules that allow for a change in the pairing system while a tournament is in progress.</t>
  </si>
  <si>
    <t>Is it possible to select the round-robin pairing system?</t>
  </si>
  <si>
    <t>Can TPNs be assigned manually in the round-robin?</t>
  </si>
  <si>
    <t>If TPNs cannot be assigned manually, how can the outcome of a public draw be entered?</t>
  </si>
  <si>
    <t>Is it possible to generate round-robin pairings (either for single or double round-robin) by using the Berger Tables?</t>
  </si>
  <si>
    <t>Is it possible to manually generate round-robin pairings?</t>
  </si>
  <si>
    <t>32</t>
  </si>
  <si>
    <t>Berger Tables are the standard method for generating round-robin pairings.</t>
  </si>
  <si>
    <t>The THP should provide a standard method, or at least a manual method, for generating round-robin pairings.</t>
  </si>
  <si>
    <t>In double round-robin tournaments, if Berger Tables are used and there is an even number of players, can the user choose both to reverse and not to reverse the last two rounds of the first cycle?</t>
  </si>
  <si>
    <t>In double round-robin tournaments, if Berger Tables are used and there is an even number of players, does the THP always reverse the last two rounds of the first cycle?</t>
  </si>
  <si>
    <t>Reversing the last two rounds of the first cycle is a recommendation, not a requirement. So the alternative must still be an option for the user.</t>
  </si>
  <si>
    <t xml:space="preserve">Reversing the last two rounds of the first cycle is a recommendation that should not be ignored. </t>
  </si>
  <si>
    <t>Berger Tables are a recommendation (C.05:5.1), so alternatives to their use should be available.</t>
  </si>
  <si>
    <t>If manual pairing is allowed in a round-robin tournament, does the THP check that each player meets every other player once or twice, depending on whether the tournament is a single or double round-robin?</t>
  </si>
  <si>
    <t>This check increases the robustness of the THP's round-robin implementation.</t>
  </si>
  <si>
    <t>In double round-robin tournaments, if Berger Tables are not used, does the THP ensure that a player cannot have the same color for three consecutive rounds?</t>
  </si>
  <si>
    <t>The adjustment to the Berger Tables is intended to prevent a triple-colour sequence for two players. A custom round-robin implementation should provide equivalent protection.</t>
  </si>
  <si>
    <t>In round-robin tournaments, does the THP correctly calculate the final standings, excluding the results of players who have completed less than 50% of their games?</t>
  </si>
  <si>
    <t>It is unacceptable to claim support for round-robin tournaments while failing to calculate points correctly in accordance with C.05:6.6.2.1.</t>
  </si>
  <si>
    <t>In round-robins, are all the following tie-breaks described in section C.07 of the FIDE Handbook correctly applied (list taken from Mandatory Tie-Breaks and appropriately edited)?</t>
  </si>
  <si>
    <t>These tie-breaks are taken from the list of Mandatory Tie-Breaks and adapted for round-robin tournaments; all of them must therefore be implemented.</t>
  </si>
  <si>
    <t>Direct Encounter (DE)</t>
  </si>
  <si>
    <t>Games Played with Black (BPG)</t>
  </si>
  <si>
    <t>Games Won with Black (BWG)</t>
  </si>
  <si>
    <t>Rounds one Elected to Play in (REP)</t>
  </si>
  <si>
    <t>Standard Points (STD)</t>
  </si>
  <si>
    <t>Sonneborn-Berger (SB)</t>
  </si>
  <si>
    <t>Sonneborn-Berger Cut-1 (SB/C1)</t>
  </si>
  <si>
    <t>Sonneborn-Berger Cut-2 (SB/C2)</t>
  </si>
  <si>
    <t>Rating (RTNG)</t>
  </si>
  <si>
    <t>Reverse Rating (RTNG/R)</t>
  </si>
  <si>
    <t>Number of Wins (WIN)</t>
  </si>
  <si>
    <t>Tournament Pairing Number (TPN)</t>
  </si>
  <si>
    <t>Reverse Tournament Pairing Number (TPN/R)</t>
  </si>
  <si>
    <t>Koya System (limit=50%) (KS)</t>
  </si>
  <si>
    <t>Koya System (limit=50% + ½) (KS/L1)</t>
  </si>
  <si>
    <t>Koya System (limit=50% +1) (KS/L2)</t>
  </si>
  <si>
    <t>Koya System (limit=50% - ½) (KS/L-1)</t>
  </si>
  <si>
    <t>Koya System (limit=50% -1) (KS/L-2)</t>
  </si>
  <si>
    <t>Is it possible to use tie-breaks such as Buchholz, Fore Buchholz, or Average of Opponents' Buchholz in round-robin tournaments?</t>
  </si>
  <si>
    <t>The note at the beginning of C.07:8 clearly states that these tie-breaks must not be used in round-robins.</t>
  </si>
  <si>
    <t>ACCELERATION METHODS</t>
  </si>
  <si>
    <t>Is the Baku Acceleration Method described in section C.04.7.1 of the FIDE Handbook correctly implemented?
(Hint: see rule C.04.2:3.5.)</t>
  </si>
  <si>
    <t>The implementation of the acceleration methods defined by FIDE is mandatory.</t>
  </si>
  <si>
    <t>Is it possible to use acceleration methods other than the Baku Acceleration Method?</t>
  </si>
  <si>
    <t>For each selectable acceleration method other than BAM, is it possible to print the detailed application rules directly from the THP, or are strict instructions provided on how to do so?</t>
  </si>
  <si>
    <t>Is it possible to remove the acceleration method used after the first round has been played?</t>
  </si>
  <si>
    <t>This is not a correct implementation of the rules.</t>
  </si>
  <si>
    <t>Is it possible to change the acceleration method used after the first round has been played?</t>
  </si>
  <si>
    <t>That is not a correct implementation of the rules.</t>
  </si>
  <si>
    <t>If acceleration groups are based on the percentage of players entering a particular group, does the THP account for the fact that players receiving a bye in the first round do not have a TPN until they actually play a game?</t>
  </si>
  <si>
    <t xml:space="preserve">According to Article C.04.2:2.4, late entries are given an appropriate TPN and paired only when they actually arrive. </t>
  </si>
  <si>
    <t>PAIRING INTEGRITY BREACHING EVENTS (PIBEs)</t>
  </si>
  <si>
    <t>Is it possible to log all PIBEs?</t>
  </si>
  <si>
    <t>The TEC Manual recommends logging PIBEs.</t>
  </si>
  <si>
    <t>Are PIBEs logged in the TRF report with comments (record ###) describing the relevant event?</t>
  </si>
  <si>
    <t>Inserting comments (###) in the TRF report is the recommended stopgap for logging.</t>
  </si>
  <si>
    <t>After a PIBE, is it possible to automatically (i.e., without the user having to prepare in advance) undo the PIBE, so as to restore the exact same situation that existed before the PIBE?</t>
  </si>
  <si>
    <t>Undo functionality would be a useful enhancement.</t>
  </si>
  <si>
    <t>When the user is about to finalise a PIBE, is a warning of at least Level 3 issued to notify them of this (thus allowing them to cancel)?</t>
  </si>
  <si>
    <t>A Level-3 warning is recommended when a PIBE is about to be finalised.</t>
  </si>
  <si>
    <t>RATING LISTS</t>
  </si>
  <si>
    <t xml:space="preserve">Can the THP maintain, even implicitly, separate rating values for FIDE reporting purposes (Official Rating) and for tournament operations (Tournament Rating)? </t>
  </si>
  <si>
    <t xml:space="preserve">Official and Tournament Ratings are usually coincident, but a THP should also be able to allow the user to keep separate ratings. </t>
  </si>
  <si>
    <t>Does the THP support the use of Custom Rating Lists?</t>
  </si>
  <si>
    <t>Custom Rating Lists must be supported.</t>
  </si>
  <si>
    <t>Does the THP manage the Effective Rapid and Effective Blitz Rating Lists, i.e. the lists in which players without a Rapid or Blitz Rating are assigned their Standard Rating?</t>
  </si>
  <si>
    <t>Effective Rating Lists should be properly managed.</t>
  </si>
  <si>
    <t>Some rating lists management must be provided.</t>
  </si>
  <si>
    <t>Are all official FIDE Rating Lists available as Type-A Rating Lists?</t>
  </si>
  <si>
    <t>This is a requirement for first-class management of rating lists.</t>
  </si>
  <si>
    <t>Can all official FIDE Rating Lists be imported as Type-B Rating Lists?</t>
  </si>
  <si>
    <t>This is an explicit requirement of the TEC Manual.</t>
  </si>
  <si>
    <t>When creating a new tournament, does the THP set up a default Rating List Sequence according to the tournament type, using the FIDE Standard, FIDE Rapid and FIDE Blitz rating lists for Standard tournaments, the Effective Rapid and FIDE Blitz rating lists for Rapid tournaments, and the Effective Blitz and FIDE Rapid rating lists for Blitz tournaments?</t>
  </si>
  <si>
    <t xml:space="preserve">When creating a new tournament, does the user have to operate with only one rating list at a time? </t>
  </si>
  <si>
    <t>Can the user modify the default Rating List Sequence by excluding one or more lists in the sequence, adding Custom Rating Lists (if supported), and changing their order?</t>
  </si>
  <si>
    <t>When adding a player, if the player is found in the Main Rating List (i.e. the first rating list in the Rating List Sequence, or the only rating list managed by the THP), is the corresponding rating automatically assigned?</t>
  </si>
  <si>
    <t>This is a requirement for first- and second-class management of rating lists.</t>
  </si>
  <si>
    <t>When adding a player, if the player is not found in the Main Rating List, does the THP indicate that the player has one or more ratings in other lists of the Rating List Sequence (if any)?</t>
  </si>
  <si>
    <t>When adding a player who has no rating in the Main Rating List but has a rating in other lists of the Rating List Sequence, does the THP allow the user to select one of these ratings?</t>
  </si>
  <si>
    <t>When adding a player for whom no rating to be entered has been found, does the THP automatically enter a minimum rating?</t>
  </si>
  <si>
    <t>When adding a player for whom no rating to be entered has been found, does the THP allow the user to enter a rating manually?</t>
  </si>
  <si>
    <t>It is recommended that rating values can be manually entered.</t>
  </si>
  <si>
    <t>Does the THP allow the user to manually modify an assigned rating?</t>
  </si>
  <si>
    <t>FIDE (The Tournament Rating is given by the official or Effective FIDE list for the type of tournament  - for all practical purposes, players not included in that list or having manually entered values are considered to have a rating sorting value equal to 0)</t>
  </si>
  <si>
    <t>NRO (The Tournament Rating is given by the National Rating - for all practical purposes, players not included in that list or having manually entered values are considered to have a rating sorting value equal to 0)</t>
  </si>
  <si>
    <t>FIDON (The Tournament Rating is given by the FIDE rating if defined, otherwise National Rating; for all practical purposes, players not included in those lists or having manually entered values are considered to have a rating sorting value equal to 0)</t>
  </si>
  <si>
    <t>NIDOF (The Tournament Rating is given by the National rating if defined, otherwise FIDE Rating; for all practical purposes, players not included in those lists or having manually entered values are considered to have a rating sorting value equal to 0)</t>
  </si>
  <si>
    <t>HBFN (The Tournament Rating is the highest among FIDE rating, National Rating, or any manually entered value)</t>
  </si>
  <si>
    <t>OTHER (The Tournament Rating is computed in a different way)</t>
  </si>
  <si>
    <t>Article 10.2 of the Laws of Chess states that scores given to an individual player must be those normally associated with the game.</t>
  </si>
  <si>
    <t>The THP provides no rating-list mechanism at all, which is unacceptable.</t>
  </si>
  <si>
    <t>Does the THP allow the user to disable all Level-4 warnings?</t>
  </si>
  <si>
    <t>Allowing these high-level warnings to be disabled negates the whole point of issuing them.</t>
  </si>
  <si>
    <r>
      <t xml:space="preserve">Article 10.2 of the Laws of Chess states that scores </t>
    </r>
    <r>
      <rPr>
        <i/>
        <sz val="10"/>
        <rFont val="Times New Roman"/>
        <family val="1"/>
      </rPr>
      <t>given</t>
    </r>
    <r>
      <rPr>
        <i/>
        <sz val="10"/>
        <rFont val="Times New Roman"/>
        <charset val="1"/>
      </rPr>
      <t xml:space="preserve"> to an individual player must be those normally associated with the game.</t>
    </r>
  </si>
  <si>
    <r>
      <t>Assigning 0 points to the PAB is the preferred technical choice</t>
    </r>
    <r>
      <rPr>
        <i/>
        <sz val="10"/>
        <rFont val="Times New Roman"/>
        <family val="1"/>
      </rPr>
      <t>, so at least 0-point PABs should be allowed</t>
    </r>
    <r>
      <rPr>
        <i/>
        <sz val="10"/>
        <rFont val="Times New Roman"/>
        <charset val="1"/>
      </rPr>
      <t>.</t>
    </r>
  </si>
  <si>
    <r>
      <t xml:space="preserve">Does the THP support and manage Type-A Rating Lists </t>
    </r>
    <r>
      <rPr>
        <sz val="10"/>
        <rFont val="Times New Roman"/>
        <family val="1"/>
      </rPr>
      <t>(i.e. rating lists whose original source is known to the THP)</t>
    </r>
    <r>
      <rPr>
        <sz val="10"/>
        <rFont val="Times New Roman"/>
        <charset val="1"/>
      </rPr>
      <t xml:space="preserve">? </t>
    </r>
  </si>
  <si>
    <r>
      <t xml:space="preserve">Does the THP support and manage Type-B Rating Lists </t>
    </r>
    <r>
      <rPr>
        <sz val="10"/>
        <rFont val="Times New Roman"/>
        <family val="1"/>
      </rPr>
      <t>(i.e. rating lists whose original source is not known to the THP)</t>
    </r>
    <r>
      <rPr>
        <sz val="10"/>
        <rFont val="Times New Roman"/>
        <charset val="1"/>
      </rPr>
      <t xml:space="preserve">? </t>
    </r>
  </si>
  <si>
    <r>
      <t xml:space="preserve">When creating a new tournament, </t>
    </r>
    <r>
      <rPr>
        <sz val="10"/>
        <rFont val="Times New Roman"/>
        <family val="1"/>
      </rPr>
      <t>can the user define or modify a Rating List Sequence</t>
    </r>
    <r>
      <rPr>
        <sz val="10"/>
        <rFont val="Times New Roman"/>
        <charset val="1"/>
      </rPr>
      <t>?</t>
    </r>
  </si>
  <si>
    <r>
      <t xml:space="preserve">In Swiss tournaments, </t>
    </r>
    <r>
      <rPr>
        <sz val="10"/>
        <rFont val="Times New Roman"/>
        <family val="1"/>
      </rPr>
      <t>can the user exchange the TPNs of two or more players (an operation called a TPN Exchange) exclusively among</t>
    </r>
    <r>
      <rPr>
        <sz val="10"/>
        <rFont val="Times New Roman"/>
        <charset val="1"/>
      </rPr>
      <t xml:space="preserve"> players who have the same Tournament Rating (or none of whom has a Tournament Rating)?</t>
    </r>
  </si>
  <si>
    <r>
      <t xml:space="preserve">The existence of an adjourned game should be indicated in the </t>
    </r>
    <r>
      <rPr>
        <i/>
        <sz val="10"/>
        <rFont val="Times New Roman"/>
        <family val="1"/>
      </rPr>
      <t>TRF report for ITDX</t>
    </r>
    <r>
      <rPr>
        <i/>
        <sz val="10"/>
        <rFont val="Times New Roman"/>
        <charset val="1"/>
      </rPr>
      <t>.</t>
    </r>
  </si>
  <si>
    <r>
      <t xml:space="preserve">Can the user enter prohibited pairings (for one or more rounds) only before the players are paired for the first </t>
    </r>
    <r>
      <rPr>
        <sz val="10"/>
        <rFont val="Times New Roman"/>
        <family val="1"/>
      </rPr>
      <t>round</t>
    </r>
    <r>
      <rPr>
        <sz val="10"/>
        <rFont val="Times New Roman"/>
        <charset val="1"/>
      </rPr>
      <t>?</t>
    </r>
  </si>
  <si>
    <t>END</t>
  </si>
  <si>
    <t>VCL Conventions</t>
  </si>
  <si>
    <t>Proceed to next question</t>
  </si>
  <si>
    <t>OK</t>
  </si>
  <si>
    <t>P</t>
  </si>
  <si>
    <t>Message (for warnings and failures)</t>
  </si>
  <si>
    <t>LEGEND</t>
  </si>
  <si>
    <t>Colour Conventions (for outcome cells)</t>
  </si>
  <si>
    <r>
      <t>Outcome</t>
    </r>
    <r>
      <rPr>
        <sz val="12"/>
        <rFont val="Arial"/>
        <family val="2"/>
      </rPr>
      <t xml:space="preserve"> (for both YES and NO answers)</t>
    </r>
  </si>
  <si>
    <r>
      <t>Next question</t>
    </r>
    <r>
      <rPr>
        <sz val="12"/>
        <rFont val="Arial"/>
        <family val="2"/>
      </rPr>
      <t xml:space="preserve"> (after a YES or NO answer)</t>
    </r>
  </si>
  <si>
    <t>Failure - verification stops here</t>
  </si>
  <si>
    <t>Warning - the number shown in the cell (P) is a penalty percentage
Note: Penalties accumulate - exceeding 100% results in failure</t>
  </si>
  <si>
    <t>TEXTBOX HERE TO INSERT INSTRUCTIONS 
ON HOW TO RETRIEVE PTC AND RTG</t>
  </si>
  <si>
    <t>It is recommended that rating values can be manually modified.</t>
  </si>
  <si>
    <t>Does the THP perform consistency checks, i.e., verify whether the ratings currently associated with the players are still those that would be assigned at the time of the check?</t>
  </si>
  <si>
    <t>Consistency checking is the most advanced feature of first-class rating-list management.</t>
  </si>
  <si>
    <t>Is the source rating list retained for every stored rating, even if the rating is subsequently modified, and is the absence of a source retained for manually entered ratings?</t>
  </si>
  <si>
    <t>While the THP is running, does it ensure that the maintained copies of the official FIDE Rating Lists are never more than one day older than the corresponding lists available from the FIDE Rating Server?</t>
  </si>
  <si>
    <t>Although this is not a strict requirement of the TEC Manual, it is strongly recommended that the Type-A lists managed by the THP be kept up to date.</t>
  </si>
  <si>
    <t>If the THP maintains locally stored copies of the official FIDE rating lists, can the user update all maintained copies through a one-click mechanism (or equivalent action)?</t>
  </si>
  <si>
    <t>Does the THP use for consistency checks the FIDE rating list(s) valid either on the tournament start date or, for tournaments lasting more than 30 days, on the date of the check?</t>
  </si>
  <si>
    <t>Can the user enable and disable consistency checks?</t>
  </si>
  <si>
    <t>The regulations require the user to be able to enable and disable consistency checks.</t>
  </si>
  <si>
    <t>After updating the maintained copies of the official FIDE rating lists, does the THP automatically perform a consistency check at the first opportunity?</t>
  </si>
  <si>
    <t>Is a consistency check performed only when explicitly requested by the user?</t>
  </si>
  <si>
    <t xml:space="preserve">The THP must protect the user and advise them of the possible rating inconsistencies. </t>
  </si>
  <si>
    <t>When the user requests a consistency check, does the THP verify whether the maintained copies of the official FIDE rating lists are up to date before performing the check?</t>
  </si>
  <si>
    <t>If the maintained lists are not updated, the consistency checks become ineffective.</t>
  </si>
  <si>
    <t>When a consistency check detects that different rating values would now be assigned to one or more players, are the affected players identified and reported to the user?</t>
  </si>
  <si>
    <t>When a consistency check detects that different rating values would now be assigned to one or more players, does the THP automatically update those ratings?</t>
  </si>
  <si>
    <t>The choice of which ratings to update belongs to the user.</t>
  </si>
  <si>
    <t>Does the user have the option to update the ratings of only a user-selected subset of players for whom a consistency check detects that a different rating would now be assigned?</t>
  </si>
  <si>
    <t>TOURNAMENT EVENTS SUPPORT</t>
  </si>
  <si>
    <t>Does the THP implement the following methods described by TRF26 to determine a player's Tournament Rating, i.e. the rating used to rank participants and therefore assign TPNs?</t>
  </si>
  <si>
    <t>The THP should allow the user to select the preferred method for determining Tournament Ratings.</t>
  </si>
  <si>
    <t>In Swiss tournaments, does the THP use criteria other than alphabetical order to rank players who have the same rating and FIDE title (or who are unrated and lack an arbitrary estimate)?</t>
  </si>
  <si>
    <t>Alphabetical order should not be the only available method for ordering players in the initial ranking list.</t>
  </si>
  <si>
    <t>In Swiss tournaments, can the user change players' TPNs without modifying their ratings solely to force the required order?</t>
  </si>
  <si>
    <t>Because it is impossible to provide every possible method for ordering players in the initial ranking list, a manual ordering method should be available.</t>
  </si>
  <si>
    <t>Does the THP issue at least a Level-3 warning when a TPN exchange violates the seeding rules set forth in the FIDE regulations (specifically C.04.2:2.2.1-2)?</t>
  </si>
  <si>
    <t>It is not recommended for the THP to allow the user to exchange the TPNs of players with different ratings, even if the user is properly warned.</t>
  </si>
  <si>
    <t>It is not recommended for the THP to allow the user to exchange the TPNs of players with different ratings.</t>
  </si>
  <si>
    <t>Does the THP issue at least a Level-3 warning when the user performs a TPN Exchange?</t>
  </si>
  <si>
    <t>A TPN exchange is an Exchange PIBE; the user should therefore receive a Level-3 warning.</t>
  </si>
  <si>
    <t>Can the user perform a TPN exchange or request a TPN Regeneration after the fourth round has been paired?</t>
  </si>
  <si>
    <t>Does the THP issue a Level-4 warning if the user performs a TPN exchange or requests a TPN Regeneration after the fourth round has been paired?</t>
  </si>
  <si>
    <t>Rating changes involving one or more players are not sufficient justification for allowing the user to change players' TPNs after the fourth round has been paired.</t>
  </si>
  <si>
    <t>At least a Level-4 warning should be issued if the user attempts to change players' TPNs when this is not permitted.</t>
  </si>
  <si>
    <t>Can the user request a TPN Regeneration before the fourth round has been paired?</t>
  </si>
  <si>
    <t>The user must be allowed to regenerate the players' TPN before the fourth round has been paired.</t>
  </si>
  <si>
    <t>Does the THP issue at least a Level-3 warning when the TPN Regeneration changes the TPN of two or more players?</t>
  </si>
  <si>
    <t>A TPN Regeneration is a Regeneration PIBE; the user should therefore receive a Level-3 warning.</t>
  </si>
  <si>
    <t>When regenerating TPNs, is the sorting criterion for players with the same rating or unrated set by the user during the initial generation retained?</t>
  </si>
  <si>
    <t>The user should not be required to repeat the same operation for ordering players with the same rating each time TPNs are regenerated.</t>
  </si>
  <si>
    <t>Is it possible to correctly assign the TPN even to a late entry that joins the tournament after the fourth round has been paired?</t>
  </si>
  <si>
    <t>Where permitted by the applicable rules, late entries may join the tournament at any time and must be assigned an appropriate TPN.</t>
  </si>
  <si>
    <t>ADJOURNED GAMES</t>
  </si>
  <si>
    <t>Can a game be registered as adjourned?</t>
  </si>
  <si>
    <t>Adjourned games are foreseen in the pairing rules.</t>
  </si>
  <si>
    <t>Can the THP make pairings if there are missing results?</t>
  </si>
  <si>
    <t>When the THP makes pairings and there are missing results, are the games for which results are missing automatically registered as adjourned games?</t>
  </si>
  <si>
    <t>Pairings cannot be made if there are missing results.</t>
  </si>
  <si>
    <t>Does the THP issue at least a Level-2 warning to indicate that the games with missing results have been automatically registered as adjourned games?</t>
  </si>
  <si>
    <t>The user must be properly informed.</t>
  </si>
  <si>
    <t>Can the THP generate the final standings if there are missing results?</t>
  </si>
  <si>
    <t>Final standings cannot be generated if some results are still missing. The user has to be informed of the games for which full results have not been entered.</t>
  </si>
  <si>
    <t>Does the THP allow the user to insert results for adjourned games at any moment?</t>
  </si>
  <si>
    <t>There is no clear rule about when the result of an adjourned game can be entered. If the THP prevents users from entering results at will, it is establishing its own rule, which is considered preposterous and cannot be accepted.</t>
  </si>
  <si>
    <t>Does the THP issue at least a Level-3 warning when the result of an adjourned game is inserted and it is not a draw?</t>
  </si>
  <si>
    <t>This is an Adjournment PIBE; the user should therefore receive a Level-3 warning.</t>
  </si>
  <si>
    <t>Is an adjourned game indicated in any way in the ITDX report?</t>
  </si>
  <si>
    <t>Is an adjourned game indicated with a question mark (?) in the ITDX report?</t>
  </si>
  <si>
    <t>TEC recommends using the character ‘?’ as the unique representation of an unknown result in ITDX files.</t>
  </si>
  <si>
    <t>Can an adjourned game be imported from ITDX by treating any unexpected symbol in the result field (e.g., 99 or 109) as indicating a game with an unknown result?</t>
  </si>
  <si>
    <t>Formally, any undefined code in the TRF report should be handled by assigning the number of points specified, explicitly or implicitly, by parameter X in record 162.</t>
  </si>
  <si>
    <t>Does the THP allow the user to assign a provisional score other than a draw to an adjourned game?</t>
  </si>
  <si>
    <t>The rules state that adjourned games are considered draws for pairing purposes.</t>
  </si>
  <si>
    <t>Does the THP issue at least a Level-2 warning if the user attempts to pair a round while one or more adjourned games remain in a round preceding the last completed round?</t>
  </si>
  <si>
    <t xml:space="preserve">The THP should always try to protect the user in all situations that may create problems. </t>
  </si>
  <si>
    <t>Does the THP allow the user to generate the final standings or the TRF while an adjourned game remains for which no result has been entered?</t>
  </si>
  <si>
    <t>Standings and TRF cannot be generated at the end of the tournament if some results are missing.</t>
  </si>
  <si>
    <t>When a player withdraws, is this noted in any way in the standings prepared by the THP?</t>
  </si>
  <si>
    <t>It is a practical, although not formal, recommendation that a THP help stakeholders identify withdrawn players quickly.</t>
  </si>
  <si>
    <t>When a player is not paired for a round, is it possible to assign them a score other than zero?</t>
  </si>
  <si>
    <t>The rules provide that a player may be awarded a half-point bye (see C.05:6.7.4).</t>
  </si>
  <si>
    <t>Is it possible to assign a player a half-point bye?</t>
  </si>
  <si>
    <t>Is it possible to assign a player two or more half-point byes?</t>
  </si>
  <si>
    <t>Is a warning of at least Level 3 issued when a player is assigned a second or subsequent half-point bye (see Art. C.05:6.7.4)?</t>
  </si>
  <si>
    <t>Rule C.05:6.7.4 states that a player may receive only one half-point bye per tournament.</t>
  </si>
  <si>
    <t>Is it possible to mark players who are not eligible for a half-point bye (see Art. C.05:6.7.4)?</t>
  </si>
  <si>
    <t>Rule C.05:6.7.4 states that a half-point bye may not be awarded to players who received conditions or were granted free entry to the tournament.</t>
  </si>
  <si>
    <t>Is it possible to assign an HPB to a player who is marked as ineligible?</t>
  </si>
  <si>
    <t>15</t>
  </si>
  <si>
    <t>A player marked as ineligible to receive an HPB should not receive one.</t>
  </si>
  <si>
    <t>Is it possible to assign a full-point bye to a player?</t>
  </si>
  <si>
    <t>Some situations can be handled more effectively if it is possible to assign a full-point bye.</t>
  </si>
  <si>
    <t>When a player is awarded a full-point bye, is a warning of at least Level 2 issued to indicate that awarding a full-point bye is deprecated?</t>
  </si>
  <si>
    <t>Full-point byes are exceptional; issuing a warning prompts the user to verify that the assignment is intentional.</t>
  </si>
  <si>
    <t>When a player is assigned a full-point bye, is there a comment in the post-tournament report (###) that explicitly indicates this?</t>
  </si>
  <si>
    <t>Although a full-point bye is represented by a specialised code, its use should still be highlighted.</t>
  </si>
  <si>
    <t>Can the user enter unusual over-the-board results such as ½-0, 0-½, or 0-0?</t>
  </si>
  <si>
    <t>Results such as ½-0, 0-½, or 0-0 may happen in an official chess game.</t>
  </si>
  <si>
    <t>Can the user enter inconsistent results such as 1-½ or 1-1?</t>
  </si>
  <si>
    <t>Results such as 1-½ or 1-1 cannot be allowed in a chess game because the total score for a game cannot exceed the maximum score normally awarded for that game (Laws of Chess 10.2).</t>
  </si>
  <si>
    <t>In case of forfeited games, can the user enter invalid forfeit results such as ½F-0F, 0F-½F, or ½F-½F?</t>
  </si>
  <si>
    <t>A draw can never be the outcome of a forfeited game (i.e., a game in which one or both players did not appear).</t>
  </si>
  <si>
    <t>In case of forfeited games, can the user enter only the following results: 1F-0F, 0F-1F, and 0F-0F?</t>
  </si>
  <si>
    <t>No forfeit result other than 1F-0F, 0F-1F, or 0F-0F is permitted.</t>
  </si>
  <si>
    <t>Can the user enter results in which one player has a standard result (win, draw, loss) and the other has a forfeit result (win, loss)?</t>
  </si>
  <si>
    <t>There are no known regulations that allow a player to win/draw/lose a game over-the-board and their opponent to win or draw by forfeit.</t>
  </si>
  <si>
    <t>Can the user enter a result for a game that does not end in a forfeit but lasts less than one full move (those results indicated in the TRF as W/D/L - unrated)?</t>
  </si>
  <si>
    <t>W/D/L are codes defined by the TRF26 specification; a THP should therefore be able to process them.</t>
  </si>
  <si>
    <t>Can the THP properly manage all results that the user is allowed to enter, including those that differ from the standard results (1-0, 0-1, and ½-½)?</t>
  </si>
  <si>
    <t>The THP must be able to deal with any result that the THP allows the user to enter.</t>
  </si>
  <si>
    <t>When a pairing is published, are the pairs sorted according to the established rules (highest score of one player, total points of both players, lowest TPN for the higher-ranked player)?</t>
  </si>
  <si>
    <t>This breaches C.04.2:3.6.</t>
  </si>
  <si>
    <t>If an acceleration method is used and that method involves the assignment of fictitious points, are the pairs ranked based on the sum of actual points and fictitious points?</t>
  </si>
  <si>
    <t>This breaches C.07:1.5.</t>
  </si>
  <si>
    <t>CHANGING PAST RESULTS</t>
  </si>
  <si>
    <t>Can the user change pairings, game results, or player colours from any previous round?</t>
  </si>
  <si>
    <t xml:space="preserve">The rules (C.04.2:4.3) state that games, results, or colours may only be modified for the round immediately preceding the last one played. </t>
  </si>
  <si>
    <t>Can the user change pairs, game results, or player colours from the round immediately preceding the last one played?</t>
  </si>
  <si>
    <t>The regulations allow for this (see C.04.2:4.3)</t>
  </si>
  <si>
    <t>Can a user change pairings, game results, or player colours from the round preceding the second-to-last round played?</t>
  </si>
  <si>
    <t>If the final part of Article C.04.2:4.3 (‘If the error is notified after the end of the next round, the correction will be made after the tournament and only for submission to rating evaluation’) applies, and the tournament pairings and standings were based on games, results, or colour assignments later found to be incorrect, does the THP allow the user to record the correct data so that they are included in the rating report (TRF) instead of the data actually used during the event?</t>
  </si>
  <si>
    <t>The THP should help the user perform this task rather than require reliance on paper notes or similar external records.</t>
  </si>
  <si>
    <t>Does the THP include a comment (###) in the TRF indicating that game results or colour assignments different from those shown in records 001 were used for the standings and pairings, and identifying those alternatives (see Art. C.04.2:4.3)?</t>
  </si>
  <si>
    <t>PROHIBITED PAIRINGS</t>
  </si>
  <si>
    <t>Does the THP allow the tournament director to prohibit two or more players from being paired in a specific round (or even throughout the entire tournament)?</t>
  </si>
  <si>
    <t>The rules permit pairing restrictions in certain circumstances; the THP should therefore support them.</t>
  </si>
  <si>
    <t>The rule states that any pairing restrictions must be communicated to the players no later than the start of the first round (see C.05:5.2).</t>
  </si>
  <si>
    <t>Can the user add prohibited pairings (for one or more rounds) after the players have already played a round?</t>
  </si>
  <si>
    <t>The rule states that if pairings are restricted in any way, this must be communicated to the players no later than the start of the first round (see C.05:5.2)</t>
  </si>
  <si>
    <t>TIE-BREAKS AND FINAL STANDINGS</t>
  </si>
  <si>
    <t>Does the THP allow for the possibility of visually flagging a player who is expelled from a tournament?</t>
  </si>
  <si>
    <t>Expelled players may be subject to special regulations, such as exclusion from the standings; it is therefore important that the user can mark such players.</t>
  </si>
  <si>
    <t>If a player is expelled from the tournament, does the THP allow the user to exclude the player from the standings (the player, not the results they achieved, unless they played less than 50% of the games in a round-robin)?</t>
  </si>
  <si>
    <t>Because expelled players may reasonably be excluded from the standings, the THP should enable the user to do so.</t>
  </si>
  <si>
    <t>In Swiss tournaments, can all of the following tie-breaks described in section C.07 of the FIDE Handbook (list taken from Mandatory Tie-Breaks and appropriately filtered) be used?</t>
  </si>
  <si>
    <t>These tie-breaks are taken from the list of Mandatory Tie-Breaks and appropriately filtered for Swiss tournaments; all of them must therefore be implemented.</t>
  </si>
  <si>
    <t>Average of Opponents' Buchholz (AOB)</t>
  </si>
  <si>
    <t>Average of Opponents' Fore Buchholz (AOB/F)</t>
  </si>
  <si>
    <t>Average Perfect Performance of Opponents (APPO)</t>
  </si>
  <si>
    <t>Average Performance Rating of Opponents (APRO)</t>
  </si>
  <si>
    <t>Average Rating of Opponents (ARO)</t>
  </si>
  <si>
    <t>Average Rating of Opponents Cut-1 (ARO/C1)</t>
  </si>
  <si>
    <t>Average Rating of Opponents Cut-2 (ARO/C2)</t>
  </si>
  <si>
    <t>Average Rating of Opponents Median-1 (ARO/M1)</t>
  </si>
  <si>
    <t>Average Rating of Opponents Median-2 (ARO/M2)</t>
  </si>
  <si>
    <t>Buchholz (BH)</t>
  </si>
  <si>
    <t>Buchholz Cut-1 (BH/C1)</t>
  </si>
  <si>
    <t>Buchholz Cut-2 (BH/C2)</t>
  </si>
  <si>
    <t>Buchholz Median-1 (BH/M1)</t>
  </si>
  <si>
    <t>Buchholz Median-2 (BH/M2)</t>
  </si>
  <si>
    <t>Direct Encounter including forfeits (DE/P)</t>
  </si>
  <si>
    <t>Fore Buchholz (FB)</t>
  </si>
  <si>
    <t>Fore Buchholz Cut-1 (FB/C1)</t>
  </si>
  <si>
    <t>Fore Buchholz Cut-2 (FB/C2)</t>
  </si>
  <si>
    <t>Fore Buchholz Median-1 (FB/M1)</t>
  </si>
  <si>
    <t>Fore Buchholz Median-2 (FB/M2)</t>
  </si>
  <si>
    <t>Sum of Progressive Scores (PS)</t>
  </si>
  <si>
    <t>Sum of Progressive Scores Cut-1 (PS/C1)</t>
  </si>
  <si>
    <t>Sum of Progressive Scores Cut-2 (PS/C2)</t>
  </si>
  <si>
    <t>Perfect Tournament Performance (PTP)</t>
  </si>
  <si>
    <t>Tournament Performance Rating (TPR)</t>
  </si>
  <si>
    <t>Number of Games Won (WON)</t>
  </si>
  <si>
    <t>Can the tie-break list be modified while the tournament is in progress?</t>
  </si>
  <si>
    <t>If the tie-break list is changed while the tournament is in progress, is a warning of at least Level 4 issued?</t>
  </si>
  <si>
    <t>The list of tie-breaks is either published in the tournament regulations or completed by the arbiter and then published before the start of the tournament.</t>
  </si>
  <si>
    <t>Is a comment (###) added to the TRF stating that the tie-break list was modified during the tournament, indicating both the round in which the change occurred and what the previous list was?</t>
  </si>
  <si>
    <t>Actions that do not strictly comply with the rules should be reported.</t>
  </si>
  <si>
    <t>Does the THP allow for ties at the end of the tournament?</t>
  </si>
  <si>
    <t>Participants may be tied at the end of a tournament.</t>
  </si>
  <si>
    <t>Does the THP provide a simulation of drawing lots among players tied for the same position to determine their final ranking?</t>
  </si>
  <si>
    <t>Drawing lots is the ultimate tie-break, and the THP should assist the user in conducting it.</t>
  </si>
  <si>
    <t>Does the THP allow the user to rank manually tied players?</t>
  </si>
  <si>
    <t>Drawing lots can be performed externally, and the THP should provide a way to record the outcome.</t>
  </si>
  <si>
    <t>If the drawing of lots used to resolve ties in the final standings is repeated, will it yield different results?</t>
  </si>
  <si>
    <t>If repeating the drawing of lots produces different results, the user could repeat the draw until a preferred outcome is obtained.</t>
  </si>
  <si>
    <t xml:space="preserve">Does the THP allow the user to enter tie-break values calculated externally to the THP? </t>
  </si>
  <si>
    <t>Because non-mandatory tie-breaks may be used, including tie-breaks not listed in C.07, the THP should allow the user to enter values calculated externally for user-defined tie-breaks.</t>
  </si>
  <si>
    <t>Does the THP provide at least one method for handling unrated players in the calculation of rating-based tie-breaks?</t>
  </si>
  <si>
    <t>The presence of unrated players prevents the use of rating-based tie-breaks (C.07:10) unless a rule specifies how they are handled.
A THP must therefore provide at least one method for including unrated players in rating-based tie-breaks.</t>
  </si>
  <si>
    <t>Does the THP provide more than one method for handling unrated players in rating-based tie-breaks?</t>
  </si>
  <si>
    <t>Two methods for handling unrated players in rating-based tie-breaks are preferable to only one.</t>
  </si>
  <si>
    <t>Does the THP allow for the identification (e.g., via a user-set flag) of a tournament lasting more than 30 days, during which each player may be associated with more than one rating?</t>
  </si>
  <si>
    <t xml:space="preserve">TRF reporting is different in tournaments that last more than 30 days, so the THP must be prepared to support the existence of such a situation. </t>
  </si>
  <si>
    <t>Does the THP suggest that, in a tournament lasting more than a month, where a player may therefore have more than one rating during the tournament, it would be preferable not to use rating-based tie-breaks, as indicated by ruke C.07:10?</t>
  </si>
  <si>
    <t>Rule C.07:10 states that rating-based tie-breaks are not recommended when a player may have more than one rating during the tournament.</t>
  </si>
  <si>
    <t>In a tournament lasting more than one month, where a player may have more than one rating during the tournament, does the THP allow the user to associate two or more ratings with each player?</t>
  </si>
  <si>
    <t xml:space="preserve">If a player has two legal ratings during the tournament, the THP should be able to indicate and manage them. </t>
  </si>
  <si>
    <t>If players have more than one rating associated with them, does the THP allow the user to link each rating to the rounds in which it applies, so that rating variations calculated by the THP provide accurate information to stakeholders?</t>
  </si>
  <si>
    <t>Although a THP is not strictly required to calculate rating variations, any such calculations it provides should be accurate.</t>
  </si>
  <si>
    <t>If players have more than one rating associated with them, can the THP calculate rating-based tie-breaks using the rating valid for each round?</t>
  </si>
  <si>
    <t>The rules do not explicitly require accurate calculation in these circumstances; nevertheless, accurate calculation is recommended.</t>
  </si>
  <si>
    <t>If players have more than one rating associated with them, can the THP calculate rating-based tie-breaks using the default rating specified by rule C.07:10 (i.e., the first rating)?</t>
  </si>
  <si>
    <t>Because this situation is foreseen by the rules, the THP must support it.</t>
  </si>
  <si>
    <t>If players have more than one rating associated with them, does the THP allow the user to choose which rating is used to calculate rating-based tie-breaks?</t>
  </si>
  <si>
    <t>The THP should allow the user to make this choice.</t>
  </si>
  <si>
    <t>MISCELLANEOUS</t>
  </si>
  <si>
    <t>Does the final TRF report produced by the THP accurately reflect what occurred in the tournament, with no events defined in the TRF specification omitted?</t>
  </si>
  <si>
    <t>Because the TRF26 specification is intended to describe every reasonable event occurring in a tournament and its administration, accuracy is a reasonable requirement for a THP.</t>
  </si>
  <si>
    <t>Does the THP allow the user to disable all Level-2 warnings?</t>
  </si>
  <si>
    <t>It is not recommended to disable warnings that the THP is required to issue.</t>
  </si>
  <si>
    <t>Does the THP allow the user to disable all Level-2 and Level-3 warnings?</t>
  </si>
  <si>
    <t>Does the THP allow the user to relax the Level-4 warnings so they are managed like Level-3 warnings?</t>
  </si>
  <si>
    <t>It is not recommended to reduce the severity of warnings that the THP is required to issue.</t>
  </si>
  <si>
    <t>Does the THP support Chess960, for example by allowing the user to select a random starting position?</t>
  </si>
  <si>
    <t>Chess960 rules are described in the Guidelines of the Laws of Chess. A THP should support Chess960 at least by providing a draw to determine the initial position.</t>
  </si>
  <si>
    <t>CONTROLLED TESTING ENVIRONMENT</t>
  </si>
  <si>
    <t>Can the THP be used, even with some limitations, without an Internet connection?</t>
  </si>
  <si>
    <t>If the THP cannot be used without an Internet connection, does the THP's manufacturer make available a controlled environment that allows TEC to test the THP without Internet access?</t>
  </si>
  <si>
    <t>A controlled environment for testing is mandatory for THPs that cannot operate without an Internet connection.</t>
  </si>
  <si>
    <t>In the controlled environment provided by the THP manufacturer, can all verification steps defined by this VCL be performed exactly as they would be on the online THP, except for functions that inherently require Internet access?</t>
  </si>
  <si>
    <t>The controlled environment must allow all verification steps defined by this VCL to be performed exactly as they would be on the online THP, except for functions that inherently require Internet access.</t>
  </si>
  <si>
    <t>Acronym</t>
  </si>
  <si>
    <t>Meaning</t>
  </si>
  <si>
    <t>FPB</t>
  </si>
  <si>
    <t>Full-point bye</t>
  </si>
  <si>
    <t>ITDX</t>
  </si>
  <si>
    <t>In-Tournament Data Exchange</t>
  </si>
  <si>
    <t>PAB</t>
  </si>
  <si>
    <t>Pairing-Allocated Bye</t>
  </si>
  <si>
    <t>PIBE</t>
  </si>
  <si>
    <t>Pairing-Integrity Breaching Event</t>
  </si>
  <si>
    <t>TAPC</t>
  </si>
  <si>
    <t>Technical Acceptance of Compliant Product</t>
  </si>
  <si>
    <t>THP</t>
  </si>
  <si>
    <t>Tournament Handler Program</t>
  </si>
  <si>
    <t>TPN</t>
  </si>
  <si>
    <t>Tournament Pairing Number</t>
  </si>
  <si>
    <t>TRF</t>
  </si>
  <si>
    <t>Tournament Report File (or Format)</t>
  </si>
  <si>
    <t>TRF26</t>
  </si>
  <si>
    <t>Tournament Report File (or Format), version 2026</t>
  </si>
  <si>
    <t>Unless explicitly stated otherwise, all questions in this checklist are subject to the ‘In FIDE Mode’ clause.
Any functionality available only in Non-FIDE Mode is excluded from this evaluation.</t>
  </si>
  <si>
    <t>For questions of the form, ‘If event X occurs, does the THP behave in this way?’, the answer is YES when event X does not occur.</t>
  </si>
  <si>
    <t>YES</t>
  </si>
  <si>
    <t>NO</t>
  </si>
  <si>
    <t>#</t>
  </si>
  <si>
    <t>Question</t>
  </si>
  <si>
    <t>O</t>
  </si>
  <si>
    <t>Next</t>
  </si>
  <si>
    <t>THP DEPLOYMENT ENVIRONMENT</t>
  </si>
  <si>
    <t>Is the TAPC requested for a THP running on Windows?</t>
  </si>
  <si>
    <t>Is the TAPC requested for a THP running on Linux?</t>
  </si>
  <si>
    <t>Is the TAPC requested for a THP running on macOS?</t>
  </si>
  <si>
    <t>Is the TAPC requested for a THP running on another commercially available operating system?</t>
  </si>
  <si>
    <t>Is the TAPC requested for a THP running on an operating system that is not commercially available?</t>
  </si>
  <si>
    <t>Is the TAPC requested for a THP made available through an online platform?</t>
  </si>
  <si>
    <t>Inconsistent answers. None of the supported deployment environments has been selected. If the TAPC is requested neither for a THP running on any operating system nor for one made available through an online platform, it is unclear what product this TAPC request refers to.</t>
  </si>
  <si>
    <t>ENGLISH LANGUAGE INTERFACE AND DOCUMENTATION</t>
  </si>
  <si>
    <t>Does the THP provide an English Language Interface?</t>
  </si>
  <si>
    <t>An English Language Interface is mandatory for FIDE mode compliance.</t>
  </si>
  <si>
    <t>If the THP requires installation, is the English Language Interface available immediately after installation?</t>
  </si>
  <si>
    <t>Can the user select the English Language Interface at run time?</t>
  </si>
  <si>
    <t>Inconsistent answers. If the THP provides an English Language Interface, it must be available either immediately after installation or through selection at runtime.</t>
  </si>
  <si>
    <t>Does the English Language Interface contain any relevant elements (such as messages, dialog-box titles, or help content) displayed in a language other than English? Advertisements are not considered relevant.</t>
  </si>
  <si>
    <t>10</t>
  </si>
  <si>
    <t>The English Language Interface should not contain relevant elements displayed in languages other than English.</t>
  </si>
  <si>
    <t>When the THP uses the English Language Interface, is a fully functional user manual or online help available to the user?
(Note: ‘Fully functional’ means that all THP features are described in detail and that there are no references to features that do not exist.)</t>
  </si>
  <si>
    <t>Can the user access the fully functional user manual or online help directly from the THP (for instance, by pressing F1)?</t>
  </si>
  <si>
    <t>Can the user access the fully functional user manual or online help as a resource separate from the THP (for example, as a PDF file or a web link)?</t>
  </si>
  <si>
    <t>2</t>
  </si>
  <si>
    <t>Accessing the manual directly from the THP is the preferred option.</t>
  </si>
  <si>
    <t>Inconsistent answers. If a fully functional English manual is available, it must be accessible either directly from the THP or as a separate resource.</t>
  </si>
  <si>
    <t>When the THP uses the English Language Interface, can the user access an English manual that, although not fully functional, describes at least the essential functions, such as rating list management, tournament setup (including tie-break configuration), bye assignment, pairings, and result and standings printouts?</t>
  </si>
  <si>
    <t>A fully functional English user manual or online help is required for FIDE mode compliance.</t>
  </si>
  <si>
    <t>Does the THP manufacturer commit to completing a partially functional manual and making it fully functional within one year from the date of obtaining the TAPC?</t>
  </si>
  <si>
    <t>5</t>
  </si>
  <si>
    <t>The requirement is for a fully functional English user manual or online help. The manufacturer has committed to completing the available documentation within one year from the date of obtaining the TAPC.</t>
  </si>
  <si>
    <t>The requirement is for a fully functional English user manual or online help. An incomplete manual cannot be accepted without a commitment from the manufacturer to complete it within one year from the date of obtaining the TAPC.</t>
  </si>
  <si>
    <t>VERIFICATION OF A PAIRING AND TIE-BREAKS ENGINE</t>
  </si>
  <si>
    <t>Does the THP use its own pairing and tie-break engine?</t>
  </si>
  <si>
    <t>Does the THP use an external pairing and tie-break engine?</t>
  </si>
  <si>
    <t>Inconsistent answers. A THP must use either its own pairing and tie-break engine or an external one.</t>
  </si>
  <si>
    <t>Are the external pairing and tie-break engines used by the THP integrated into a THP that has already received a TAPC?</t>
  </si>
  <si>
    <t>Does the THP make available, either directly or through the external pairing and tie-break engines it uses, both a Pairing and Tie-Break Checker (PTC) and a Random Tournament Generator (RTG)?</t>
  </si>
  <si>
    <t>Both a PTC and an RTG must be available for obtaining a TAPC.</t>
  </si>
  <si>
    <t>Does the THP's PTC provide a CLI interface that can be used free of charge by any stakeholder?</t>
  </si>
  <si>
    <t>The THP's PTC must provide a CLI interface that can be used free of charge by any stakeholder.</t>
  </si>
  <si>
    <t>Does the THP's PTC CLI accept a TRF26-encoded file as input and produce a report indicating, explicitly or implicitly, which pairings are inconsistent with the rules for each round and which positions in the standings do not reflect the order obtained by applying the tie-breaks?</t>
  </si>
  <si>
    <t>The THP's PTC CLI must accept a TRF26-encoded file as input and produce a report indicating, explicitly or implicitly, inconsistent pairings and standings.</t>
  </si>
  <si>
    <t>Does the THP's RTG provide a CLI interface that can be used free of charge by any stakeholder?</t>
  </si>
</sst>
</file>

<file path=xl/styles.xml><?xml version="1.0" encoding="utf-8"?>
<styleSheet xmlns="http://schemas.openxmlformats.org/spreadsheetml/2006/main">
  <fonts count="23">
    <font>
      <sz val="10"/>
      <name val="Arial"/>
      <charset val="1"/>
    </font>
    <font>
      <sz val="12"/>
      <name val="Arial"/>
      <charset val="1"/>
    </font>
    <font>
      <i/>
      <sz val="10"/>
      <name val="Times New Roman"/>
      <charset val="1"/>
    </font>
    <font>
      <b/>
      <sz val="12"/>
      <name val="Arial"/>
      <charset val="1"/>
    </font>
    <font>
      <i/>
      <sz val="12"/>
      <name val="Arial"/>
      <family val="2"/>
      <charset val="1"/>
    </font>
    <font>
      <i/>
      <sz val="12"/>
      <name val="Arial"/>
      <charset val="1"/>
    </font>
    <font>
      <b/>
      <sz val="10"/>
      <name val="Arial"/>
      <charset val="1"/>
    </font>
    <font>
      <sz val="10"/>
      <name val="Times New Roman"/>
      <charset val="1"/>
    </font>
    <font>
      <b/>
      <sz val="10"/>
      <color indexed="13"/>
      <name val="Times New Roman"/>
      <charset val="1"/>
    </font>
    <font>
      <sz val="9"/>
      <name val="Times New Roman"/>
      <charset val="1"/>
    </font>
    <font>
      <b/>
      <sz val="10"/>
      <name val="Times New Roman"/>
      <charset val="1"/>
    </font>
    <font>
      <sz val="8"/>
      <name val="Arial"/>
      <charset val="1"/>
    </font>
    <font>
      <sz val="10"/>
      <name val="Times New Roman"/>
      <family val="1"/>
    </font>
    <font>
      <sz val="10"/>
      <name val="Arial"/>
      <charset val="1"/>
    </font>
    <font>
      <i/>
      <sz val="10"/>
      <name val="Times New Roman"/>
      <family val="1"/>
    </font>
    <font>
      <sz val="10"/>
      <name val="Arial"/>
      <family val="2"/>
      <charset val="1"/>
    </font>
    <font>
      <b/>
      <sz val="8"/>
      <color indexed="9"/>
      <name val="Arial"/>
      <charset val="1"/>
    </font>
    <font>
      <sz val="9"/>
      <name val="Times New Roman"/>
      <family val="1"/>
    </font>
    <font>
      <i/>
      <sz val="28"/>
      <name val="Arial"/>
      <family val="2"/>
    </font>
    <font>
      <sz val="12"/>
      <name val="Arial"/>
      <family val="2"/>
    </font>
    <font>
      <b/>
      <sz val="12"/>
      <name val="Arial"/>
      <family val="2"/>
    </font>
    <font>
      <b/>
      <sz val="16"/>
      <name val="Arial"/>
      <family val="2"/>
    </font>
    <font>
      <i/>
      <sz val="16"/>
      <name val="Arial"/>
      <family val="2"/>
    </font>
  </fonts>
  <fills count="22">
    <fill>
      <patternFill patternType="none"/>
    </fill>
    <fill>
      <patternFill patternType="gray125"/>
    </fill>
    <fill>
      <patternFill patternType="solid">
        <fgColor indexed="14"/>
        <bgColor indexed="33"/>
      </patternFill>
    </fill>
    <fill>
      <patternFill patternType="solid">
        <fgColor indexed="14"/>
        <bgColor indexed="64"/>
      </patternFill>
    </fill>
    <fill>
      <patternFill patternType="solid">
        <fgColor indexed="44"/>
        <bgColor indexed="22"/>
      </patternFill>
    </fill>
    <fill>
      <patternFill patternType="solid">
        <fgColor indexed="44"/>
        <bgColor indexed="64"/>
      </patternFill>
    </fill>
    <fill>
      <patternFill patternType="solid">
        <fgColor indexed="47"/>
        <bgColor indexed="26"/>
      </patternFill>
    </fill>
    <fill>
      <patternFill patternType="solid">
        <fgColor indexed="47"/>
        <bgColor indexed="64"/>
      </patternFill>
    </fill>
    <fill>
      <patternFill patternType="solid">
        <fgColor indexed="17"/>
        <bgColor indexed="21"/>
      </patternFill>
    </fill>
    <fill>
      <patternFill patternType="solid">
        <fgColor indexed="10"/>
        <bgColor indexed="16"/>
      </patternFill>
    </fill>
    <fill>
      <patternFill patternType="solid">
        <fgColor indexed="13"/>
        <bgColor indexed="34"/>
      </patternFill>
    </fill>
    <fill>
      <patternFill patternType="solid">
        <fgColor indexed="10"/>
        <bgColor indexed="64"/>
      </patternFill>
    </fill>
    <fill>
      <patternFill patternType="solid">
        <fgColor indexed="8"/>
        <bgColor indexed="63"/>
      </patternFill>
    </fill>
    <fill>
      <patternFill patternType="solid">
        <fgColor indexed="12"/>
        <bgColor indexed="64"/>
      </patternFill>
    </fill>
    <fill>
      <patternFill patternType="solid">
        <fgColor indexed="11"/>
        <bgColor indexed="49"/>
      </patternFill>
    </fill>
    <fill>
      <patternFill patternType="solid">
        <fgColor indexed="43"/>
        <bgColor indexed="64"/>
      </patternFill>
    </fill>
    <fill>
      <patternFill patternType="solid">
        <fgColor indexed="9"/>
        <bgColor indexed="64"/>
      </patternFill>
    </fill>
    <fill>
      <patternFill patternType="solid">
        <fgColor indexed="17"/>
        <bgColor indexed="64"/>
      </patternFill>
    </fill>
    <fill>
      <patternFill patternType="solid">
        <fgColor indexed="15"/>
        <bgColor indexed="9"/>
      </patternFill>
    </fill>
    <fill>
      <patternFill patternType="solid">
        <fgColor indexed="42"/>
        <bgColor indexed="41"/>
      </patternFill>
    </fill>
    <fill>
      <patternFill patternType="solid">
        <fgColor indexed="22"/>
        <bgColor indexed="44"/>
      </patternFill>
    </fill>
    <fill>
      <patternFill patternType="solid">
        <fgColor indexed="45"/>
        <bgColor indexed="29"/>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93">
    <xf numFmtId="0" fontId="0" fillId="0" borderId="0" xfId="0"/>
    <xf numFmtId="0" fontId="1" fillId="0" borderId="0" xfId="0" applyFont="1"/>
    <xf numFmtId="0" fontId="3" fillId="0" borderId="0" xfId="0" applyFont="1"/>
    <xf numFmtId="0" fontId="5" fillId="0" borderId="0" xfId="0" applyFont="1"/>
    <xf numFmtId="0" fontId="13" fillId="0" borderId="0" xfId="0" applyFont="1"/>
    <xf numFmtId="49" fontId="13" fillId="0" borderId="0" xfId="0" applyNumberFormat="1" applyFont="1" applyAlignment="1">
      <alignment horizontal="center" vertical="center"/>
    </xf>
    <xf numFmtId="0" fontId="13" fillId="0" borderId="0" xfId="0" applyFont="1" applyAlignment="1">
      <alignment horizontal="center" vertical="center" wrapText="1"/>
    </xf>
    <xf numFmtId="0" fontId="13" fillId="0" borderId="0" xfId="0" applyFont="1" applyFill="1" applyAlignment="1">
      <alignment horizontal="left"/>
    </xf>
    <xf numFmtId="0" fontId="2" fillId="0" borderId="0" xfId="0" applyFont="1" applyFill="1" applyAlignment="1">
      <alignment horizontal="left"/>
    </xf>
    <xf numFmtId="0" fontId="13" fillId="0" borderId="0" xfId="0" applyFont="1" applyBorder="1"/>
    <xf numFmtId="49" fontId="13" fillId="0" borderId="1" xfId="0" applyNumberFormat="1" applyFont="1" applyBorder="1" applyAlignment="1">
      <alignment horizontal="center" vertical="center" wrapText="1"/>
    </xf>
    <xf numFmtId="49" fontId="3" fillId="0" borderId="1" xfId="0" applyNumberFormat="1" applyFont="1" applyFill="1" applyBorder="1" applyAlignment="1">
      <alignment horizontal="left" vertical="center" wrapText="1"/>
    </xf>
    <xf numFmtId="49" fontId="5" fillId="2"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xf>
    <xf numFmtId="0" fontId="2" fillId="5" borderId="1" xfId="0"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7" fillId="0" borderId="1" xfId="0" applyFont="1" applyFill="1" applyBorder="1" applyAlignment="1">
      <alignment horizontal="left" vertical="center" wrapText="1"/>
    </xf>
    <xf numFmtId="49" fontId="3" fillId="8"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1" fontId="3" fillId="0" borderId="1" xfId="0" applyNumberFormat="1" applyFont="1" applyBorder="1" applyAlignment="1">
      <alignment horizontal="center" vertical="center" wrapText="1"/>
    </xf>
    <xf numFmtId="1" fontId="3" fillId="9"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3" fillId="10" borderId="1" xfId="0" applyNumberFormat="1" applyFont="1" applyFill="1" applyBorder="1" applyAlignment="1">
      <alignment horizontal="center" vertical="center" wrapText="1"/>
    </xf>
    <xf numFmtId="0" fontId="13" fillId="0" borderId="1" xfId="0" applyFont="1" applyBorder="1"/>
    <xf numFmtId="49" fontId="7" fillId="0" borderId="1" xfId="0" applyNumberFormat="1" applyFont="1" applyFill="1" applyBorder="1" applyAlignment="1">
      <alignment horizontal="left" vertical="center" wrapText="1"/>
    </xf>
    <xf numFmtId="49" fontId="3" fillId="9" borderId="1" xfId="0" applyNumberFormat="1" applyFont="1" applyFill="1" applyBorder="1" applyAlignment="1">
      <alignment horizontal="center" vertical="center" wrapText="1"/>
    </xf>
    <xf numFmtId="1" fontId="3" fillId="8" borderId="1" xfId="0" applyNumberFormat="1" applyFont="1" applyFill="1" applyBorder="1" applyAlignment="1">
      <alignment horizontal="center" vertical="center" wrapText="1"/>
    </xf>
    <xf numFmtId="1" fontId="3" fillId="1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0" borderId="1" xfId="0" applyFont="1" applyBorder="1" applyAlignment="1">
      <alignment horizontal="center" vertical="center" wrapText="1"/>
    </xf>
    <xf numFmtId="49" fontId="10"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15" fillId="0" borderId="1" xfId="0" applyFont="1" applyFill="1" applyBorder="1" applyAlignment="1">
      <alignment horizontal="left" vertical="center" wrapText="1"/>
    </xf>
    <xf numFmtId="0" fontId="1" fillId="8" borderId="1" xfId="0" applyFont="1" applyFill="1" applyBorder="1"/>
    <xf numFmtId="0" fontId="2" fillId="0" borderId="1" xfId="0" applyFont="1" applyFill="1" applyBorder="1" applyAlignment="1">
      <alignment horizontal="left"/>
    </xf>
    <xf numFmtId="0" fontId="16" fillId="12" borderId="1" xfId="0" applyFont="1" applyFill="1" applyBorder="1" applyAlignment="1">
      <alignment horizontal="center" vertical="center" wrapText="1"/>
    </xf>
    <xf numFmtId="49" fontId="3" fillId="8" borderId="3" xfId="0" applyNumberFormat="1" applyFont="1" applyFill="1" applyBorder="1" applyAlignment="1">
      <alignment horizontal="center" vertical="center" wrapText="1"/>
    </xf>
    <xf numFmtId="0" fontId="9" fillId="0" borderId="0" xfId="0" applyFont="1" applyFill="1" applyBorder="1" applyAlignment="1">
      <alignment horizontal="left" vertical="center" wrapText="1"/>
    </xf>
    <xf numFmtId="0" fontId="7" fillId="0" borderId="4"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6" xfId="0" applyFont="1" applyFill="1" applyBorder="1" applyAlignment="1">
      <alignment horizontal="left" vertical="center" wrapText="1"/>
    </xf>
    <xf numFmtId="49" fontId="9" fillId="0" borderId="7" xfId="0" applyNumberFormat="1" applyFont="1" applyFill="1" applyBorder="1" applyAlignment="1">
      <alignment horizontal="left" vertical="center" wrapText="1"/>
    </xf>
    <xf numFmtId="49" fontId="9" fillId="0" borderId="8" xfId="0" applyNumberFormat="1" applyFont="1" applyFill="1" applyBorder="1" applyAlignment="1">
      <alignment horizontal="left" vertical="center" wrapText="1"/>
    </xf>
    <xf numFmtId="49" fontId="9" fillId="0" borderId="9" xfId="0" applyNumberFormat="1" applyFont="1" applyFill="1" applyBorder="1" applyAlignment="1">
      <alignment horizontal="left" vertical="center" wrapText="1"/>
    </xf>
    <xf numFmtId="0" fontId="17" fillId="0" borderId="9" xfId="0" applyFont="1" applyFill="1" applyBorder="1" applyAlignment="1">
      <alignment vertical="top" wrapText="1"/>
    </xf>
    <xf numFmtId="0" fontId="17" fillId="0" borderId="7" xfId="0" applyFont="1" applyFill="1" applyBorder="1" applyAlignment="1">
      <alignment vertical="top" wrapText="1"/>
    </xf>
    <xf numFmtId="0" fontId="17" fillId="0" borderId="8" xfId="0" applyFont="1" applyFill="1" applyBorder="1" applyAlignment="1">
      <alignment vertical="top" wrapText="1"/>
    </xf>
    <xf numFmtId="0" fontId="9" fillId="0" borderId="10" xfId="0" applyFont="1" applyFill="1" applyBorder="1" applyAlignment="1">
      <alignment horizontal="left" vertical="center" wrapText="1"/>
    </xf>
    <xf numFmtId="0" fontId="8" fillId="13" borderId="1" xfId="0" applyFont="1" applyFill="1" applyBorder="1" applyAlignment="1">
      <alignment horizontal="center" vertical="center" wrapText="1"/>
    </xf>
    <xf numFmtId="49" fontId="1" fillId="18" borderId="1" xfId="0" applyNumberFormat="1" applyFont="1" applyFill="1" applyBorder="1" applyAlignment="1">
      <alignment horizontal="center" vertical="center" wrapText="1"/>
    </xf>
    <xf numFmtId="49" fontId="4" fillId="19" borderId="1" xfId="0" applyNumberFormat="1" applyFont="1" applyFill="1" applyBorder="1" applyAlignment="1">
      <alignment horizontal="center" vertical="center" wrapText="1"/>
    </xf>
    <xf numFmtId="49" fontId="3" fillId="20" borderId="1" xfId="0" applyNumberFormat="1" applyFont="1" applyFill="1" applyBorder="1" applyAlignment="1">
      <alignment horizontal="center" vertical="center"/>
    </xf>
    <xf numFmtId="49" fontId="3" fillId="21" borderId="1" xfId="0" applyNumberFormat="1" applyFont="1" applyFill="1" applyBorder="1" applyAlignment="1">
      <alignment horizontal="center" vertical="center"/>
    </xf>
    <xf numFmtId="0" fontId="19" fillId="0" borderId="2" xfId="0" applyNumberFormat="1" applyFont="1" applyFill="1" applyBorder="1" applyAlignment="1">
      <alignment horizontal="left" vertical="center" wrapText="1"/>
    </xf>
    <xf numFmtId="0" fontId="19" fillId="0" borderId="11" xfId="0" applyNumberFormat="1" applyFont="1" applyFill="1" applyBorder="1" applyAlignment="1">
      <alignment horizontal="left" vertical="center" wrapText="1"/>
    </xf>
    <xf numFmtId="0" fontId="19" fillId="0" borderId="3" xfId="0" applyNumberFormat="1" applyFont="1" applyFill="1" applyBorder="1" applyAlignment="1">
      <alignment horizontal="left" vertical="center" wrapText="1"/>
    </xf>
    <xf numFmtId="0" fontId="6" fillId="14" borderId="1" xfId="0" applyFont="1" applyFill="1" applyBorder="1" applyAlignment="1">
      <alignment horizontal="center"/>
    </xf>
    <xf numFmtId="0" fontId="6" fillId="14" borderId="1" xfId="0" applyFont="1" applyFill="1" applyBorder="1" applyAlignment="1">
      <alignment horizontal="center" vertical="center" wrapText="1"/>
    </xf>
    <xf numFmtId="0" fontId="1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2" fillId="0" borderId="1" xfId="0" applyFont="1" applyFill="1" applyBorder="1" applyAlignment="1">
      <alignment horizontal="left" vertical="center" wrapText="1"/>
    </xf>
    <xf numFmtId="1" fontId="3" fillId="9" borderId="1" xfId="0" applyNumberFormat="1" applyFont="1" applyFill="1" applyBorder="1" applyAlignment="1">
      <alignment horizontal="center" vertical="center" wrapText="1"/>
    </xf>
    <xf numFmtId="0" fontId="4" fillId="11" borderId="2" xfId="0" applyNumberFormat="1" applyFont="1" applyFill="1" applyBorder="1" applyAlignment="1">
      <alignment horizontal="center" vertical="center" wrapText="1"/>
    </xf>
    <xf numFmtId="0" fontId="4" fillId="11" borderId="3" xfId="0" applyNumberFormat="1" applyFont="1" applyFill="1" applyBorder="1" applyAlignment="1">
      <alignment horizontal="center" vertical="center" wrapText="1"/>
    </xf>
    <xf numFmtId="0" fontId="18" fillId="15" borderId="7" xfId="0" applyNumberFormat="1" applyFont="1" applyFill="1" applyBorder="1" applyAlignment="1">
      <alignment horizontal="center" vertical="center" wrapText="1"/>
    </xf>
    <xf numFmtId="0" fontId="4" fillId="15" borderId="8" xfId="0" applyNumberFormat="1" applyFont="1" applyFill="1" applyBorder="1" applyAlignment="1">
      <alignment horizontal="center" vertical="center" wrapText="1"/>
    </xf>
    <xf numFmtId="0" fontId="4" fillId="15" borderId="9" xfId="0" applyNumberFormat="1" applyFont="1" applyFill="1" applyBorder="1" applyAlignment="1">
      <alignment horizontal="center" vertical="center" wrapText="1"/>
    </xf>
    <xf numFmtId="0" fontId="20" fillId="0" borderId="2" xfId="0" applyNumberFormat="1" applyFont="1" applyFill="1" applyBorder="1" applyAlignment="1">
      <alignment horizontal="left"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21" fillId="15" borderId="2" xfId="0" applyNumberFormat="1" applyFont="1" applyFill="1" applyBorder="1" applyAlignment="1">
      <alignment horizontal="center" vertical="center" wrapText="1"/>
    </xf>
    <xf numFmtId="0" fontId="22" fillId="15" borderId="11" xfId="0" applyNumberFormat="1" applyFont="1" applyFill="1" applyBorder="1" applyAlignment="1">
      <alignment horizontal="center" vertical="center" wrapText="1"/>
    </xf>
    <xf numFmtId="0" fontId="22" fillId="15" borderId="3" xfId="0" applyNumberFormat="1" applyFont="1" applyFill="1" applyBorder="1" applyAlignment="1">
      <alignment horizontal="center" vertical="center" wrapText="1"/>
    </xf>
    <xf numFmtId="0" fontId="4" fillId="15" borderId="11" xfId="0" applyNumberFormat="1" applyFont="1" applyFill="1" applyBorder="1" applyAlignment="1">
      <alignment horizontal="center" vertical="center" wrapText="1"/>
    </xf>
    <xf numFmtId="0" fontId="4" fillId="15" borderId="3" xfId="0" applyNumberFormat="1" applyFont="1" applyFill="1" applyBorder="1" applyAlignment="1">
      <alignment horizontal="center" vertical="center" wrapText="1"/>
    </xf>
    <xf numFmtId="0" fontId="20" fillId="0" borderId="2" xfId="0" applyNumberFormat="1" applyFont="1" applyFill="1" applyBorder="1" applyAlignment="1">
      <alignment horizontal="center" vertical="center" wrapText="1"/>
    </xf>
    <xf numFmtId="0" fontId="20" fillId="0" borderId="3" xfId="0" applyNumberFormat="1" applyFont="1" applyFill="1" applyBorder="1" applyAlignment="1">
      <alignment horizontal="center" vertical="center" wrapText="1"/>
    </xf>
    <xf numFmtId="0" fontId="4" fillId="16" borderId="2" xfId="0" applyNumberFormat="1" applyFont="1" applyFill="1" applyBorder="1" applyAlignment="1">
      <alignment horizontal="center" vertical="center" wrapText="1"/>
    </xf>
    <xf numFmtId="0" fontId="4" fillId="16" borderId="3" xfId="0" applyNumberFormat="1" applyFont="1" applyFill="1" applyBorder="1" applyAlignment="1">
      <alignment horizontal="center" vertical="center" wrapText="1"/>
    </xf>
    <xf numFmtId="0" fontId="4" fillId="17" borderId="2" xfId="0" applyNumberFormat="1" applyFont="1" applyFill="1" applyBorder="1" applyAlignment="1">
      <alignment horizontal="center" vertical="center" wrapText="1"/>
    </xf>
    <xf numFmtId="0" fontId="4" fillId="17" borderId="3" xfId="0" applyNumberFormat="1" applyFont="1" applyFill="1" applyBorder="1" applyAlignment="1">
      <alignment horizontal="center" vertical="center" wrapText="1"/>
    </xf>
    <xf numFmtId="0" fontId="3" fillId="10" borderId="2" xfId="0" applyNumberFormat="1" applyFont="1" applyFill="1" applyBorder="1" applyAlignment="1">
      <alignment horizontal="center" vertical="center" wrapText="1"/>
    </xf>
    <xf numFmtId="0" fontId="3" fillId="10"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7F8C8D"/>
      <rgbColor rgb="009999FF"/>
      <rgbColor rgb="00993366"/>
      <rgbColor rgb="00FFF2CC"/>
      <rgbColor rgb="00D9EAF7"/>
      <rgbColor rgb="00660066"/>
      <rgbColor rgb="00FF8080"/>
      <rgbColor rgb="000066CC"/>
      <rgbColor rgb="00D9E2F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4472C4"/>
      <rgbColor rgb="0033CCCC"/>
      <rgbColor rgb="0099CC00"/>
      <rgbColor rgb="00FFCC00"/>
      <rgbColor rgb="00FF9900"/>
      <rgbColor rgb="00FF6600"/>
      <rgbColor rgb="00666699"/>
      <rgbColor rgb="00999999"/>
      <rgbColor rgb="00003366"/>
      <rgbColor rgb="00339966"/>
      <rgbColor rgb="00003300"/>
      <rgbColor rgb="00333300"/>
      <rgbColor rgb="00C65911"/>
      <rgbColor rgb="00993366"/>
      <rgbColor rgb="001F4E78"/>
      <rgbColor rgb="001F1F1F"/>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1196340</xdr:colOff>
      <xdr:row>22</xdr:row>
      <xdr:rowOff>419100</xdr:rowOff>
    </xdr:to>
    <xdr:sp macro="" textlink="">
      <xdr:nvSpPr>
        <xdr:cNvPr id="1207" name="Text Box 183" hidden="1"/>
        <xdr:cNvSpPr>
          <a:spLocks noChangeArrowheads="1"/>
        </xdr:cNvSpPr>
      </xdr:nvSpPr>
      <xdr:spPr bwMode="auto">
        <a:xfrm>
          <a:off x="0" y="0"/>
          <a:ext cx="6225540" cy="6644640"/>
        </a:xfrm>
        <a:prstGeom prst="rect">
          <a:avLst/>
        </a:prstGeom>
        <a:solidFill>
          <a:srgbClr val="FFFFFF"/>
        </a:solidFill>
        <a:ln w="9360">
          <a:solidFill>
            <a:srgbClr val="000000"/>
          </a:solidFill>
          <a:miter lim="800000"/>
          <a:headEnd/>
          <a:tailEnd/>
        </a:ln>
        <a:effec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281940</xdr:colOff>
      <xdr:row>37</xdr:row>
      <xdr:rowOff>144780</xdr:rowOff>
    </xdr:to>
    <xdr:sp macro="" textlink="">
      <xdr:nvSpPr>
        <xdr:cNvPr id="2050" name="Text Box 2" hidden="1"/>
        <xdr:cNvSpPr>
          <a:spLocks noChangeArrowheads="1"/>
        </xdr:cNvSpPr>
      </xdr:nvSpPr>
      <xdr:spPr bwMode="auto">
        <a:xfrm>
          <a:off x="0" y="0"/>
          <a:ext cx="6233160" cy="6621780"/>
        </a:xfrm>
        <a:prstGeom prst="rect">
          <a:avLst/>
        </a:prstGeom>
        <a:solidFill>
          <a:srgbClr val="FFFFFF"/>
        </a:solidFill>
        <a:ln w="9360">
          <a:solidFill>
            <a:srgbClr val="000000"/>
          </a:solidFill>
          <a:miter lim="800000"/>
          <a:headEnd/>
          <a:tailEnd/>
        </a:ln>
        <a:effec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I391"/>
  <sheetViews>
    <sheetView tabSelected="1" topLeftCell="A34" zoomScale="117" workbookViewId="0">
      <selection activeCell="E34" sqref="E34:E35"/>
    </sheetView>
  </sheetViews>
  <sheetFormatPr defaultColWidth="8.6640625" defaultRowHeight="15.6"/>
  <cols>
    <col min="1" max="1" width="6.6640625" style="6" customWidth="1"/>
    <col min="2" max="2" width="55.5546875" style="7" customWidth="1"/>
    <col min="3" max="3" width="5.5546875" style="1" customWidth="1"/>
    <col min="4" max="4" width="5.5546875" style="4" customWidth="1"/>
    <col min="5" max="5" width="44.44140625" style="8" customWidth="1"/>
    <col min="6" max="6" width="5.5546875" style="2" customWidth="1"/>
    <col min="7" max="7" width="5.5546875" style="4" customWidth="1"/>
    <col min="8" max="8" width="44.44140625" style="8" customWidth="1"/>
    <col min="9" max="128" width="8.88671875" style="4" customWidth="1"/>
    <col min="129" max="16384" width="8.6640625" style="4"/>
  </cols>
  <sheetData>
    <row r="1" spans="1:8" ht="33.75" customHeight="1">
      <c r="A1" s="77"/>
      <c r="B1" s="58" t="s">
        <v>486</v>
      </c>
      <c r="C1" s="58"/>
      <c r="D1" s="58"/>
      <c r="E1" s="58"/>
      <c r="F1" s="58"/>
      <c r="G1" s="58"/>
      <c r="H1" s="58"/>
    </row>
    <row r="2" spans="1:8" ht="15.6" customHeight="1">
      <c r="A2" s="78"/>
      <c r="B2" s="59" t="s">
        <v>487</v>
      </c>
      <c r="C2" s="59"/>
      <c r="D2" s="59"/>
      <c r="E2" s="59"/>
      <c r="F2" s="59"/>
      <c r="G2" s="59"/>
      <c r="H2" s="59"/>
    </row>
    <row r="3" spans="1:8" ht="20.399999999999999">
      <c r="A3" s="78"/>
      <c r="B3" s="73" t="s">
        <v>257</v>
      </c>
      <c r="C3" s="80" t="s">
        <v>252</v>
      </c>
      <c r="D3" s="81"/>
      <c r="E3" s="81"/>
      <c r="F3" s="81"/>
      <c r="G3" s="81"/>
      <c r="H3" s="82"/>
    </row>
    <row r="4" spans="1:8" ht="15.6" customHeight="1">
      <c r="A4" s="78"/>
      <c r="B4" s="74"/>
      <c r="C4" s="85" t="s">
        <v>492</v>
      </c>
      <c r="D4" s="86"/>
      <c r="E4" s="76" t="s">
        <v>259</v>
      </c>
      <c r="F4" s="63"/>
      <c r="G4" s="63"/>
      <c r="H4" s="64"/>
    </row>
    <row r="5" spans="1:8" ht="15.6" customHeight="1">
      <c r="A5" s="78"/>
      <c r="B5" s="74"/>
      <c r="C5" s="85" t="s">
        <v>493</v>
      </c>
      <c r="D5" s="86"/>
      <c r="E5" s="76" t="s">
        <v>260</v>
      </c>
      <c r="F5" s="63"/>
      <c r="G5" s="63"/>
      <c r="H5" s="64"/>
    </row>
    <row r="6" spans="1:8">
      <c r="A6" s="78"/>
      <c r="B6" s="74"/>
      <c r="C6" s="80" t="s">
        <v>258</v>
      </c>
      <c r="D6" s="83"/>
      <c r="E6" s="83"/>
      <c r="F6" s="83"/>
      <c r="G6" s="83"/>
      <c r="H6" s="84"/>
    </row>
    <row r="7" spans="1:8" ht="15.6" customHeight="1">
      <c r="A7" s="78"/>
      <c r="B7" s="74"/>
      <c r="C7" s="87"/>
      <c r="D7" s="88"/>
      <c r="E7" s="62" t="s">
        <v>253</v>
      </c>
      <c r="F7" s="63"/>
      <c r="G7" s="63"/>
      <c r="H7" s="64"/>
    </row>
    <row r="8" spans="1:8" ht="15.6" customHeight="1">
      <c r="A8" s="78"/>
      <c r="B8" s="74"/>
      <c r="C8" s="89"/>
      <c r="D8" s="90"/>
      <c r="E8" s="62" t="s">
        <v>254</v>
      </c>
      <c r="F8" s="63"/>
      <c r="G8" s="63"/>
      <c r="H8" s="64"/>
    </row>
    <row r="9" spans="1:8" ht="37.799999999999997" customHeight="1">
      <c r="A9" s="78"/>
      <c r="B9" s="74"/>
      <c r="C9" s="91" t="s">
        <v>255</v>
      </c>
      <c r="D9" s="92"/>
      <c r="E9" s="62" t="s">
        <v>262</v>
      </c>
      <c r="F9" s="63"/>
      <c r="G9" s="63"/>
      <c r="H9" s="64"/>
    </row>
    <row r="10" spans="1:8" ht="15.6" customHeight="1">
      <c r="A10" s="79"/>
      <c r="B10" s="75"/>
      <c r="C10" s="71"/>
      <c r="D10" s="72"/>
      <c r="E10" s="62" t="s">
        <v>261</v>
      </c>
      <c r="F10" s="63"/>
      <c r="G10" s="63"/>
      <c r="H10" s="64"/>
    </row>
    <row r="11" spans="1:8">
      <c r="A11" s="10"/>
      <c r="B11" s="11"/>
      <c r="C11" s="60" t="s">
        <v>488</v>
      </c>
      <c r="D11" s="60"/>
      <c r="E11" s="60"/>
      <c r="F11" s="61" t="s">
        <v>489</v>
      </c>
      <c r="G11" s="61"/>
      <c r="H11" s="61"/>
    </row>
    <row r="12" spans="1:8">
      <c r="A12" s="12" t="s">
        <v>490</v>
      </c>
      <c r="B12" s="13" t="s">
        <v>491</v>
      </c>
      <c r="C12" s="14" t="s">
        <v>492</v>
      </c>
      <c r="D12" s="15" t="s">
        <v>493</v>
      </c>
      <c r="E12" s="16" t="s">
        <v>256</v>
      </c>
      <c r="F12" s="17" t="s">
        <v>492</v>
      </c>
      <c r="G12" s="18" t="s">
        <v>493</v>
      </c>
      <c r="H12" s="19" t="s">
        <v>256</v>
      </c>
    </row>
    <row r="13" spans="1:8" ht="13.2">
      <c r="A13" s="65" t="s">
        <v>494</v>
      </c>
      <c r="B13" s="65"/>
      <c r="C13" s="65"/>
      <c r="D13" s="65"/>
      <c r="E13" s="65"/>
      <c r="F13" s="65"/>
      <c r="G13" s="65"/>
      <c r="H13" s="65"/>
    </row>
    <row r="14" spans="1:8">
      <c r="A14" s="20">
        <v>1</v>
      </c>
      <c r="B14" s="21" t="s">
        <v>495</v>
      </c>
      <c r="C14" s="22"/>
      <c r="D14" s="20">
        <f>A21</f>
        <v>7</v>
      </c>
      <c r="E14" s="23"/>
      <c r="F14" s="24"/>
      <c r="G14" s="20">
        <f>A15</f>
        <v>2</v>
      </c>
      <c r="H14" s="23"/>
    </row>
    <row r="15" spans="1:8">
      <c r="A15" s="20">
        <f>A14+1</f>
        <v>2</v>
      </c>
      <c r="B15" s="21" t="s">
        <v>496</v>
      </c>
      <c r="C15" s="22"/>
      <c r="D15" s="20">
        <f>A21</f>
        <v>7</v>
      </c>
      <c r="E15" s="23"/>
      <c r="F15" s="24"/>
      <c r="G15" s="20">
        <f>A16</f>
        <v>3</v>
      </c>
      <c r="H15" s="23"/>
    </row>
    <row r="16" spans="1:8">
      <c r="A16" s="20">
        <f>A15+1</f>
        <v>3</v>
      </c>
      <c r="B16" s="21" t="s">
        <v>497</v>
      </c>
      <c r="C16" s="22"/>
      <c r="D16" s="20">
        <f>A21</f>
        <v>7</v>
      </c>
      <c r="E16" s="23"/>
      <c r="F16" s="24"/>
      <c r="G16" s="20">
        <f>A17</f>
        <v>4</v>
      </c>
      <c r="H16" s="23"/>
    </row>
    <row r="17" spans="1:8" ht="26.4">
      <c r="A17" s="20">
        <f>A16+1</f>
        <v>4</v>
      </c>
      <c r="B17" s="21" t="s">
        <v>498</v>
      </c>
      <c r="C17" s="22"/>
      <c r="D17" s="20">
        <f>A21</f>
        <v>7</v>
      </c>
      <c r="E17" s="23"/>
      <c r="F17" s="24"/>
      <c r="G17" s="20">
        <f>A18</f>
        <v>5</v>
      </c>
      <c r="H17" s="23"/>
    </row>
    <row r="18" spans="1:8" ht="26.4">
      <c r="A18" s="20">
        <f>A17+1</f>
        <v>5</v>
      </c>
      <c r="B18" s="21" t="s">
        <v>499</v>
      </c>
      <c r="C18" s="22"/>
      <c r="D18" s="20">
        <f>A21</f>
        <v>7</v>
      </c>
      <c r="E18" s="23"/>
      <c r="F18" s="24"/>
      <c r="G18" s="20">
        <f>A19</f>
        <v>6</v>
      </c>
      <c r="H18" s="23"/>
    </row>
    <row r="19" spans="1:8" ht="79.2">
      <c r="A19" s="20">
        <f>A18+1</f>
        <v>6</v>
      </c>
      <c r="B19" s="21" t="s">
        <v>500</v>
      </c>
      <c r="C19" s="22"/>
      <c r="D19" s="20">
        <f>A21</f>
        <v>7</v>
      </c>
      <c r="E19" s="23"/>
      <c r="F19" s="25"/>
      <c r="G19" s="20"/>
      <c r="H19" s="23" t="s">
        <v>501</v>
      </c>
    </row>
    <row r="20" spans="1:8" ht="13.2">
      <c r="A20" s="66" t="s">
        <v>502</v>
      </c>
      <c r="B20" s="66"/>
      <c r="C20" s="66"/>
      <c r="D20" s="66"/>
      <c r="E20" s="66"/>
      <c r="F20" s="66"/>
      <c r="G20" s="66"/>
      <c r="H20" s="66"/>
    </row>
    <row r="21" spans="1:8" ht="26.4">
      <c r="A21" s="20">
        <f>A19+1</f>
        <v>7</v>
      </c>
      <c r="B21" s="21" t="s">
        <v>503</v>
      </c>
      <c r="C21" s="26"/>
      <c r="D21" s="20">
        <f>A22</f>
        <v>8</v>
      </c>
      <c r="E21" s="23"/>
      <c r="F21" s="25"/>
      <c r="G21" s="20"/>
      <c r="H21" s="23" t="s">
        <v>504</v>
      </c>
    </row>
    <row r="22" spans="1:8" ht="26.4">
      <c r="A22" s="20">
        <f t="shared" ref="A22:A29" si="0">A21+1</f>
        <v>8</v>
      </c>
      <c r="B22" s="21" t="s">
        <v>505</v>
      </c>
      <c r="C22" s="22"/>
      <c r="D22" s="20">
        <f>A24</f>
        <v>10</v>
      </c>
      <c r="E22" s="23"/>
      <c r="F22" s="24"/>
      <c r="G22" s="20">
        <f>A23</f>
        <v>9</v>
      </c>
      <c r="H22" s="23"/>
    </row>
    <row r="23" spans="1:8" ht="52.8">
      <c r="A23" s="20">
        <f t="shared" si="0"/>
        <v>9</v>
      </c>
      <c r="B23" s="21" t="s">
        <v>506</v>
      </c>
      <c r="C23" s="22"/>
      <c r="D23" s="20">
        <f>A24</f>
        <v>10</v>
      </c>
      <c r="E23" s="23"/>
      <c r="F23" s="25"/>
      <c r="G23" s="20"/>
      <c r="H23" s="23" t="s">
        <v>507</v>
      </c>
    </row>
    <row r="24" spans="1:8" ht="52.8">
      <c r="A24" s="20">
        <f t="shared" si="0"/>
        <v>10</v>
      </c>
      <c r="B24" s="21" t="s">
        <v>508</v>
      </c>
      <c r="C24" s="27" t="s">
        <v>509</v>
      </c>
      <c r="D24" s="20">
        <f>A25</f>
        <v>11</v>
      </c>
      <c r="E24" s="23" t="s">
        <v>510</v>
      </c>
      <c r="F24" s="22"/>
      <c r="G24" s="20">
        <f>A25</f>
        <v>11</v>
      </c>
      <c r="H24" s="23"/>
    </row>
    <row r="25" spans="1:8" ht="52.8">
      <c r="A25" s="20">
        <f t="shared" si="0"/>
        <v>11</v>
      </c>
      <c r="B25" s="21" t="s">
        <v>511</v>
      </c>
      <c r="C25" s="22"/>
      <c r="D25" s="20">
        <f>A26</f>
        <v>12</v>
      </c>
      <c r="E25" s="23"/>
      <c r="F25" s="24"/>
      <c r="G25" s="20">
        <f>A28</f>
        <v>14</v>
      </c>
      <c r="H25" s="23"/>
    </row>
    <row r="26" spans="1:8" ht="26.4">
      <c r="A26" s="20">
        <f t="shared" si="0"/>
        <v>12</v>
      </c>
      <c r="B26" s="21" t="s">
        <v>512</v>
      </c>
      <c r="C26" s="22"/>
      <c r="D26" s="20">
        <f>A31</f>
        <v>16</v>
      </c>
      <c r="E26" s="23"/>
      <c r="F26" s="24"/>
      <c r="G26" s="20">
        <f>A27</f>
        <v>13</v>
      </c>
      <c r="H26" s="23"/>
    </row>
    <row r="27" spans="1:8" ht="39.6">
      <c r="A27" s="20">
        <f t="shared" si="0"/>
        <v>13</v>
      </c>
      <c r="B27" s="21" t="s">
        <v>513</v>
      </c>
      <c r="C27" s="27" t="s">
        <v>514</v>
      </c>
      <c r="D27" s="20">
        <f>A31</f>
        <v>16</v>
      </c>
      <c r="E27" s="23" t="s">
        <v>515</v>
      </c>
      <c r="F27" s="25"/>
      <c r="G27" s="20"/>
      <c r="H27" s="23" t="s">
        <v>516</v>
      </c>
    </row>
    <row r="28" spans="1:8" ht="66">
      <c r="A28" s="20">
        <f t="shared" si="0"/>
        <v>14</v>
      </c>
      <c r="B28" s="21" t="s">
        <v>517</v>
      </c>
      <c r="C28" s="28"/>
      <c r="D28" s="20">
        <f>A29</f>
        <v>15</v>
      </c>
      <c r="E28" s="23"/>
      <c r="F28" s="25"/>
      <c r="G28" s="20"/>
      <c r="H28" s="23" t="s">
        <v>518</v>
      </c>
    </row>
    <row r="29" spans="1:8" ht="66">
      <c r="A29" s="20">
        <f t="shared" si="0"/>
        <v>15</v>
      </c>
      <c r="B29" s="21" t="s">
        <v>519</v>
      </c>
      <c r="C29" s="27" t="s">
        <v>520</v>
      </c>
      <c r="D29" s="20">
        <f>A31</f>
        <v>16</v>
      </c>
      <c r="E29" s="23" t="s">
        <v>521</v>
      </c>
      <c r="F29" s="25"/>
      <c r="G29" s="20"/>
      <c r="H29" s="23" t="s">
        <v>522</v>
      </c>
    </row>
    <row r="30" spans="1:8" ht="13.2">
      <c r="A30" s="66" t="s">
        <v>523</v>
      </c>
      <c r="B30" s="66"/>
      <c r="C30" s="66"/>
      <c r="D30" s="66"/>
      <c r="E30" s="66"/>
      <c r="F30" s="66"/>
      <c r="G30" s="66"/>
      <c r="H30" s="66"/>
    </row>
    <row r="31" spans="1:8">
      <c r="A31" s="20">
        <f>A29+1</f>
        <v>16</v>
      </c>
      <c r="B31" s="21" t="s">
        <v>524</v>
      </c>
      <c r="C31" s="28"/>
      <c r="D31" s="20">
        <f>A34</f>
        <v>19</v>
      </c>
      <c r="E31" s="23"/>
      <c r="F31" s="24"/>
      <c r="G31" s="20">
        <f>A32</f>
        <v>17</v>
      </c>
      <c r="H31" s="23"/>
    </row>
    <row r="32" spans="1:8" ht="26.4">
      <c r="A32" s="20">
        <f>A31+1</f>
        <v>17</v>
      </c>
      <c r="B32" s="21" t="s">
        <v>525</v>
      </c>
      <c r="C32" s="22"/>
      <c r="D32" s="20">
        <f>A33</f>
        <v>18</v>
      </c>
      <c r="E32" s="23"/>
      <c r="F32" s="25"/>
      <c r="G32" s="20"/>
      <c r="H32" s="23" t="s">
        <v>526</v>
      </c>
    </row>
    <row r="33" spans="1:8" ht="26.4">
      <c r="A33" s="20">
        <f>A32+1</f>
        <v>18</v>
      </c>
      <c r="B33" s="21" t="s">
        <v>527</v>
      </c>
      <c r="C33" s="22"/>
      <c r="D33" s="20">
        <f>A67</f>
        <v>40</v>
      </c>
      <c r="E33" s="23"/>
      <c r="F33" s="24"/>
      <c r="G33" s="20">
        <f>A34</f>
        <v>19</v>
      </c>
      <c r="H33" s="23"/>
    </row>
    <row r="34" spans="1:8" ht="39.6">
      <c r="A34" s="67">
        <f>A33+1</f>
        <v>19</v>
      </c>
      <c r="B34" s="21" t="s">
        <v>528</v>
      </c>
      <c r="C34" s="68"/>
      <c r="D34" s="67">
        <f>A36</f>
        <v>20</v>
      </c>
      <c r="E34" s="69"/>
      <c r="F34" s="70"/>
      <c r="G34" s="67"/>
      <c r="H34" s="69" t="s">
        <v>529</v>
      </c>
    </row>
    <row r="35" spans="1:8" ht="26.4">
      <c r="A35" s="67"/>
      <c r="B35" s="57" t="s">
        <v>263</v>
      </c>
      <c r="C35" s="68"/>
      <c r="D35" s="67"/>
      <c r="E35" s="69"/>
      <c r="F35" s="70"/>
      <c r="G35" s="67"/>
      <c r="H35" s="69"/>
    </row>
    <row r="36" spans="1:8" ht="26.4">
      <c r="A36" s="20">
        <f>A34+1</f>
        <v>20</v>
      </c>
      <c r="B36" s="21" t="s">
        <v>530</v>
      </c>
      <c r="C36" s="26"/>
      <c r="D36" s="20">
        <f>A37</f>
        <v>21</v>
      </c>
      <c r="E36" s="23"/>
      <c r="F36" s="25"/>
      <c r="G36" s="20"/>
      <c r="H36" s="23" t="s">
        <v>531</v>
      </c>
    </row>
    <row r="37" spans="1:8" ht="52.8">
      <c r="A37" s="20">
        <f>A36+1</f>
        <v>21</v>
      </c>
      <c r="B37" s="21" t="s">
        <v>532</v>
      </c>
      <c r="C37" s="22"/>
      <c r="D37" s="20">
        <f>A38</f>
        <v>22</v>
      </c>
      <c r="E37" s="23"/>
      <c r="F37" s="25"/>
      <c r="G37" s="20"/>
      <c r="H37" s="23" t="s">
        <v>533</v>
      </c>
    </row>
    <row r="38" spans="1:8" ht="26.4">
      <c r="A38" s="20">
        <f>A37+1</f>
        <v>22</v>
      </c>
      <c r="B38" s="21" t="s">
        <v>534</v>
      </c>
      <c r="C38" s="22"/>
      <c r="D38" s="20">
        <f>A40</f>
        <v>24</v>
      </c>
      <c r="E38" s="23"/>
      <c r="F38" s="24"/>
      <c r="G38" s="20">
        <f>A39</f>
        <v>23</v>
      </c>
      <c r="H38" s="23"/>
    </row>
    <row r="39" spans="1:8" ht="39.6">
      <c r="A39" s="20">
        <f>A38+1</f>
        <v>23</v>
      </c>
      <c r="B39" s="21" t="s">
        <v>0</v>
      </c>
      <c r="C39" s="27" t="s">
        <v>1</v>
      </c>
      <c r="D39" s="20">
        <f>A40</f>
        <v>24</v>
      </c>
      <c r="E39" s="23" t="s">
        <v>2</v>
      </c>
      <c r="F39" s="25"/>
      <c r="G39" s="20"/>
      <c r="H39" s="23" t="s">
        <v>3</v>
      </c>
    </row>
    <row r="40" spans="1:8" ht="25.5" customHeight="1">
      <c r="A40" s="67">
        <f>A39+1</f>
        <v>24</v>
      </c>
      <c r="B40" s="21" t="s">
        <v>4</v>
      </c>
      <c r="C40" s="26"/>
      <c r="D40" s="67">
        <f>A51</f>
        <v>25</v>
      </c>
      <c r="E40" s="69"/>
      <c r="F40" s="24"/>
      <c r="G40" s="67"/>
      <c r="H40" s="69" t="s">
        <v>5</v>
      </c>
    </row>
    <row r="41" spans="1:8">
      <c r="A41" s="67"/>
      <c r="B41" s="50" t="s">
        <v>6</v>
      </c>
      <c r="C41" s="22"/>
      <c r="D41" s="67"/>
      <c r="E41" s="69"/>
      <c r="F41" s="25"/>
      <c r="G41" s="67"/>
      <c r="H41" s="69"/>
    </row>
    <row r="42" spans="1:8">
      <c r="A42" s="67"/>
      <c r="B42" s="51" t="s">
        <v>7</v>
      </c>
      <c r="C42" s="22"/>
      <c r="D42" s="67"/>
      <c r="E42" s="69"/>
      <c r="F42" s="25"/>
      <c r="G42" s="67"/>
      <c r="H42" s="69"/>
    </row>
    <row r="43" spans="1:8" ht="24">
      <c r="A43" s="67"/>
      <c r="B43" s="51" t="s">
        <v>8</v>
      </c>
      <c r="C43" s="22"/>
      <c r="D43" s="67"/>
      <c r="E43" s="69"/>
      <c r="F43" s="25"/>
      <c r="G43" s="67"/>
      <c r="H43" s="69"/>
    </row>
    <row r="44" spans="1:8" ht="24">
      <c r="A44" s="67"/>
      <c r="B44" s="51" t="s">
        <v>9</v>
      </c>
      <c r="C44" s="22"/>
      <c r="D44" s="67"/>
      <c r="E44" s="69"/>
      <c r="F44" s="25"/>
      <c r="G44" s="67"/>
      <c r="H44" s="69"/>
    </row>
    <row r="45" spans="1:8" ht="24">
      <c r="A45" s="67"/>
      <c r="B45" s="51" t="s">
        <v>10</v>
      </c>
      <c r="C45" s="22"/>
      <c r="D45" s="67"/>
      <c r="E45" s="69"/>
      <c r="F45" s="25"/>
      <c r="G45" s="67"/>
      <c r="H45" s="69"/>
    </row>
    <row r="46" spans="1:8">
      <c r="A46" s="67"/>
      <c r="B46" s="51" t="s">
        <v>11</v>
      </c>
      <c r="C46" s="22"/>
      <c r="D46" s="67"/>
      <c r="E46" s="69"/>
      <c r="F46" s="25"/>
      <c r="G46" s="67"/>
      <c r="H46" s="69"/>
    </row>
    <row r="47" spans="1:8">
      <c r="A47" s="67"/>
      <c r="B47" s="51" t="s">
        <v>12</v>
      </c>
      <c r="C47" s="22"/>
      <c r="D47" s="67"/>
      <c r="E47" s="69"/>
      <c r="F47" s="25"/>
      <c r="G47" s="67"/>
      <c r="H47" s="69"/>
    </row>
    <row r="48" spans="1:8" ht="24">
      <c r="A48" s="67"/>
      <c r="B48" s="51" t="s">
        <v>13</v>
      </c>
      <c r="C48" s="22"/>
      <c r="D48" s="67"/>
      <c r="E48" s="69"/>
      <c r="F48" s="27" t="s">
        <v>514</v>
      </c>
      <c r="G48" s="67"/>
      <c r="H48" s="69"/>
    </row>
    <row r="49" spans="1:8">
      <c r="A49" s="67"/>
      <c r="B49" s="51" t="s">
        <v>14</v>
      </c>
      <c r="C49" s="22"/>
      <c r="D49" s="67"/>
      <c r="E49" s="69"/>
      <c r="F49" s="25"/>
      <c r="G49" s="67"/>
      <c r="H49" s="69"/>
    </row>
    <row r="50" spans="1:8">
      <c r="A50" s="67"/>
      <c r="B50" s="52" t="s">
        <v>15</v>
      </c>
      <c r="C50" s="22"/>
      <c r="D50" s="67"/>
      <c r="E50" s="69"/>
      <c r="F50" s="25"/>
      <c r="G50" s="67"/>
      <c r="H50" s="69"/>
    </row>
    <row r="51" spans="1:8" ht="66">
      <c r="A51" s="20">
        <f>A40+1</f>
        <v>25</v>
      </c>
      <c r="B51" s="21" t="s">
        <v>16</v>
      </c>
      <c r="C51" s="22"/>
      <c r="D51" s="20">
        <f>A52</f>
        <v>26</v>
      </c>
      <c r="E51" s="23"/>
      <c r="F51" s="30"/>
      <c r="G51" s="20"/>
      <c r="H51" s="23" t="s">
        <v>17</v>
      </c>
    </row>
    <row r="52" spans="1:8" ht="52.8">
      <c r="A52" s="20">
        <f t="shared" ref="A52:A65" si="1">A51+1</f>
        <v>26</v>
      </c>
      <c r="B52" s="21" t="s">
        <v>18</v>
      </c>
      <c r="C52" s="26"/>
      <c r="D52" s="20">
        <f>A53</f>
        <v>27</v>
      </c>
      <c r="E52" s="23"/>
      <c r="F52" s="27" t="s">
        <v>19</v>
      </c>
      <c r="G52" s="20">
        <f>A56</f>
        <v>30</v>
      </c>
      <c r="H52" s="23" t="s">
        <v>20</v>
      </c>
    </row>
    <row r="53" spans="1:8" ht="26.4">
      <c r="A53" s="20">
        <f t="shared" si="1"/>
        <v>27</v>
      </c>
      <c r="B53" s="21" t="s">
        <v>21</v>
      </c>
      <c r="C53" s="22"/>
      <c r="D53" s="20">
        <f>A54</f>
        <v>28</v>
      </c>
      <c r="E53" s="23"/>
      <c r="F53" s="27" t="s">
        <v>509</v>
      </c>
      <c r="G53" s="20">
        <f>A54</f>
        <v>28</v>
      </c>
      <c r="H53" s="23" t="s">
        <v>22</v>
      </c>
    </row>
    <row r="54" spans="1:8" ht="39.6">
      <c r="A54" s="20">
        <f t="shared" si="1"/>
        <v>28</v>
      </c>
      <c r="B54" s="21" t="s">
        <v>23</v>
      </c>
      <c r="C54" s="22"/>
      <c r="D54" s="20">
        <f>A55</f>
        <v>29</v>
      </c>
      <c r="E54" s="23"/>
      <c r="F54" s="27" t="s">
        <v>1</v>
      </c>
      <c r="G54" s="20">
        <f>A55</f>
        <v>29</v>
      </c>
      <c r="H54" s="23" t="s">
        <v>24</v>
      </c>
    </row>
    <row r="55" spans="1:8" ht="39.6">
      <c r="A55" s="20">
        <f t="shared" si="1"/>
        <v>29</v>
      </c>
      <c r="B55" s="21" t="s">
        <v>25</v>
      </c>
      <c r="C55" s="22"/>
      <c r="D55" s="20">
        <f>A56</f>
        <v>30</v>
      </c>
      <c r="E55" s="23"/>
      <c r="F55" s="27" t="s">
        <v>26</v>
      </c>
      <c r="G55" s="20">
        <f>A56</f>
        <v>30</v>
      </c>
      <c r="H55" s="23" t="s">
        <v>27</v>
      </c>
    </row>
    <row r="56" spans="1:8" ht="52.8">
      <c r="A56" s="20">
        <f t="shared" si="1"/>
        <v>30</v>
      </c>
      <c r="B56" s="21" t="s">
        <v>28</v>
      </c>
      <c r="C56" s="30"/>
      <c r="D56" s="28"/>
      <c r="E56" s="23" t="s">
        <v>29</v>
      </c>
      <c r="F56" s="22"/>
      <c r="G56" s="20">
        <f>A57</f>
        <v>31</v>
      </c>
      <c r="H56" s="23"/>
    </row>
    <row r="57" spans="1:8" ht="52.8">
      <c r="A57" s="20">
        <f t="shared" si="1"/>
        <v>31</v>
      </c>
      <c r="B57" s="21" t="s">
        <v>30</v>
      </c>
      <c r="C57" s="22"/>
      <c r="D57" s="20">
        <f>A58</f>
        <v>32</v>
      </c>
      <c r="E57" s="23"/>
      <c r="F57" s="30"/>
      <c r="G57" s="20"/>
      <c r="H57" s="23" t="s">
        <v>31</v>
      </c>
    </row>
    <row r="58" spans="1:8" ht="66">
      <c r="A58" s="20">
        <f t="shared" si="1"/>
        <v>32</v>
      </c>
      <c r="B58" s="21" t="s">
        <v>32</v>
      </c>
      <c r="C58" s="22"/>
      <c r="D58" s="20">
        <f>A59</f>
        <v>33</v>
      </c>
      <c r="E58" s="23"/>
      <c r="F58" s="27" t="s">
        <v>520</v>
      </c>
      <c r="G58" s="20">
        <f>A59</f>
        <v>33</v>
      </c>
      <c r="H58" s="23" t="s">
        <v>33</v>
      </c>
    </row>
    <row r="59" spans="1:8" ht="52.8">
      <c r="A59" s="20">
        <f t="shared" si="1"/>
        <v>33</v>
      </c>
      <c r="B59" s="21" t="s">
        <v>34</v>
      </c>
      <c r="C59" s="22"/>
      <c r="D59" s="20">
        <f>A60</f>
        <v>34</v>
      </c>
      <c r="E59" s="23"/>
      <c r="F59" s="30"/>
      <c r="G59" s="20"/>
      <c r="H59" s="23" t="s">
        <v>35</v>
      </c>
    </row>
    <row r="60" spans="1:8" ht="26.4">
      <c r="A60" s="20">
        <f t="shared" si="1"/>
        <v>34</v>
      </c>
      <c r="B60" s="21" t="s">
        <v>36</v>
      </c>
      <c r="C60" s="26"/>
      <c r="D60" s="20">
        <f>A61</f>
        <v>35</v>
      </c>
      <c r="E60" s="23"/>
      <c r="F60" s="22"/>
      <c r="G60" s="20">
        <f>A67</f>
        <v>40</v>
      </c>
      <c r="H60" s="23"/>
    </row>
    <row r="61" spans="1:8" ht="39.6">
      <c r="A61" s="20">
        <f t="shared" si="1"/>
        <v>35</v>
      </c>
      <c r="B61" s="21" t="s">
        <v>37</v>
      </c>
      <c r="C61" s="30"/>
      <c r="D61" s="20"/>
      <c r="E61" s="23" t="s">
        <v>38</v>
      </c>
      <c r="F61" s="24"/>
      <c r="G61" s="20">
        <f>A62</f>
        <v>36</v>
      </c>
      <c r="H61" s="23"/>
    </row>
    <row r="62" spans="1:8" ht="39.6">
      <c r="A62" s="20">
        <f t="shared" si="1"/>
        <v>36</v>
      </c>
      <c r="B62" s="21" t="s">
        <v>39</v>
      </c>
      <c r="C62" s="26"/>
      <c r="D62" s="20">
        <f>A63</f>
        <v>37</v>
      </c>
      <c r="E62" s="23"/>
      <c r="F62" s="22"/>
      <c r="G62" s="20">
        <f>A67</f>
        <v>40</v>
      </c>
      <c r="H62" s="23"/>
    </row>
    <row r="63" spans="1:8" ht="39.6">
      <c r="A63" s="20">
        <f t="shared" si="1"/>
        <v>37</v>
      </c>
      <c r="B63" s="21" t="s">
        <v>40</v>
      </c>
      <c r="C63" s="22"/>
      <c r="D63" s="20">
        <f>D65</f>
        <v>40</v>
      </c>
      <c r="E63" s="23"/>
      <c r="F63" s="27" t="s">
        <v>19</v>
      </c>
      <c r="G63" s="20">
        <f>A64</f>
        <v>38</v>
      </c>
      <c r="H63" s="23" t="s">
        <v>41</v>
      </c>
    </row>
    <row r="64" spans="1:8" ht="39.6">
      <c r="A64" s="20">
        <f t="shared" si="1"/>
        <v>38</v>
      </c>
      <c r="B64" s="21" t="s">
        <v>42</v>
      </c>
      <c r="C64" s="26"/>
      <c r="D64" s="20">
        <f>A65</f>
        <v>39</v>
      </c>
      <c r="E64" s="23"/>
      <c r="F64" s="22"/>
      <c r="G64" s="20">
        <f>A67</f>
        <v>40</v>
      </c>
      <c r="H64" s="23"/>
    </row>
    <row r="65" spans="1:8" ht="39.6">
      <c r="A65" s="20">
        <f t="shared" si="1"/>
        <v>39</v>
      </c>
      <c r="B65" s="21" t="s">
        <v>43</v>
      </c>
      <c r="C65" s="22"/>
      <c r="D65" s="20">
        <f>A67</f>
        <v>40</v>
      </c>
      <c r="E65" s="23"/>
      <c r="F65" s="27" t="s">
        <v>44</v>
      </c>
      <c r="G65" s="20">
        <f>A67</f>
        <v>40</v>
      </c>
      <c r="H65" s="23" t="s">
        <v>45</v>
      </c>
    </row>
    <row r="66" spans="1:8" ht="13.2">
      <c r="A66" s="66" t="s">
        <v>46</v>
      </c>
      <c r="B66" s="66"/>
      <c r="C66" s="66"/>
      <c r="D66" s="66"/>
      <c r="E66" s="66"/>
      <c r="F66" s="66"/>
      <c r="G66" s="66"/>
      <c r="H66" s="66"/>
    </row>
    <row r="67" spans="1:8">
      <c r="A67" s="20">
        <f>A65+1</f>
        <v>40</v>
      </c>
      <c r="B67" s="21" t="s">
        <v>47</v>
      </c>
      <c r="C67" s="22"/>
      <c r="D67" s="20">
        <f>A69</f>
        <v>42</v>
      </c>
      <c r="E67" s="23"/>
      <c r="F67" s="24"/>
      <c r="G67" s="20">
        <f>A68</f>
        <v>41</v>
      </c>
      <c r="H67" s="23"/>
    </row>
    <row r="68" spans="1:8" ht="39.6">
      <c r="A68" s="20">
        <f t="shared" ref="A68:A73" si="2">A67+1</f>
        <v>41</v>
      </c>
      <c r="B68" s="21" t="s">
        <v>48</v>
      </c>
      <c r="C68" s="22"/>
      <c r="D68" s="20">
        <f>A69</f>
        <v>42</v>
      </c>
      <c r="E68" s="23"/>
      <c r="F68" s="25"/>
      <c r="G68" s="20"/>
      <c r="H68" s="23" t="s">
        <v>49</v>
      </c>
    </row>
    <row r="69" spans="1:8" ht="26.4">
      <c r="A69" s="20">
        <f t="shared" si="2"/>
        <v>42</v>
      </c>
      <c r="B69" s="21" t="s">
        <v>50</v>
      </c>
      <c r="C69" s="26"/>
      <c r="D69" s="20">
        <f>A70</f>
        <v>43</v>
      </c>
      <c r="E69" s="23"/>
      <c r="F69" s="31"/>
      <c r="G69" s="20">
        <f>A75</f>
        <v>47</v>
      </c>
      <c r="H69" s="23" t="s">
        <v>51</v>
      </c>
    </row>
    <row r="70" spans="1:8" ht="26.4">
      <c r="A70" s="20">
        <f t="shared" si="2"/>
        <v>43</v>
      </c>
      <c r="B70" s="21" t="s">
        <v>52</v>
      </c>
      <c r="C70" s="22"/>
      <c r="D70" s="20">
        <f>A71</f>
        <v>44</v>
      </c>
      <c r="E70" s="23"/>
      <c r="F70" s="25"/>
      <c r="G70" s="20"/>
      <c r="H70" s="23" t="s">
        <v>53</v>
      </c>
    </row>
    <row r="71" spans="1:8" ht="66">
      <c r="A71" s="20">
        <f t="shared" si="2"/>
        <v>44</v>
      </c>
      <c r="B71" s="21" t="s">
        <v>54</v>
      </c>
      <c r="C71" s="22"/>
      <c r="D71" s="20">
        <f>A72</f>
        <v>45</v>
      </c>
      <c r="E71" s="23"/>
      <c r="F71" s="32">
        <v>30</v>
      </c>
      <c r="G71" s="20">
        <f>A72</f>
        <v>45</v>
      </c>
      <c r="H71" s="23" t="s">
        <v>55</v>
      </c>
    </row>
    <row r="72" spans="1:8" ht="52.8">
      <c r="A72" s="20">
        <f t="shared" si="2"/>
        <v>45</v>
      </c>
      <c r="B72" s="21" t="s">
        <v>56</v>
      </c>
      <c r="C72" s="30"/>
      <c r="D72" s="20"/>
      <c r="E72" s="23" t="s">
        <v>57</v>
      </c>
      <c r="F72" s="31"/>
      <c r="G72" s="20">
        <f>A73</f>
        <v>46</v>
      </c>
      <c r="H72" s="23"/>
    </row>
    <row r="73" spans="1:8" ht="26.4">
      <c r="A73" s="20">
        <f t="shared" si="2"/>
        <v>46</v>
      </c>
      <c r="B73" s="21" t="s">
        <v>58</v>
      </c>
      <c r="C73" s="31"/>
      <c r="D73" s="20">
        <f>A75</f>
        <v>47</v>
      </c>
      <c r="E73" s="23"/>
      <c r="F73" s="32">
        <v>3</v>
      </c>
      <c r="G73" s="20">
        <f>A75</f>
        <v>47</v>
      </c>
      <c r="H73" s="23" t="s">
        <v>59</v>
      </c>
    </row>
    <row r="74" spans="1:8" ht="13.2">
      <c r="A74" s="66" t="s">
        <v>60</v>
      </c>
      <c r="B74" s="66"/>
      <c r="C74" s="66"/>
      <c r="D74" s="66"/>
      <c r="E74" s="66"/>
      <c r="F74" s="66"/>
      <c r="G74" s="66"/>
      <c r="H74" s="66"/>
    </row>
    <row r="75" spans="1:8">
      <c r="A75" s="20">
        <f>A73+1</f>
        <v>47</v>
      </c>
      <c r="B75" s="21" t="s">
        <v>61</v>
      </c>
      <c r="C75" s="26"/>
      <c r="D75" s="20">
        <f>A76</f>
        <v>48</v>
      </c>
      <c r="E75" s="23"/>
      <c r="F75" s="32">
        <v>7</v>
      </c>
      <c r="G75" s="33">
        <f>A77</f>
        <v>49</v>
      </c>
      <c r="H75" s="23" t="s">
        <v>62</v>
      </c>
    </row>
    <row r="76" spans="1:8" ht="26.4">
      <c r="A76" s="20">
        <f t="shared" ref="A76:A84" si="3">A75+1</f>
        <v>48</v>
      </c>
      <c r="B76" s="21" t="s">
        <v>63</v>
      </c>
      <c r="C76" s="22"/>
      <c r="D76" s="20">
        <f>A77</f>
        <v>49</v>
      </c>
      <c r="E76" s="23"/>
      <c r="F76" s="32">
        <v>3</v>
      </c>
      <c r="G76" s="33">
        <f>A77</f>
        <v>49</v>
      </c>
      <c r="H76" s="23" t="s">
        <v>64</v>
      </c>
    </row>
    <row r="77" spans="1:8">
      <c r="A77" s="20">
        <f t="shared" si="3"/>
        <v>49</v>
      </c>
      <c r="B77" s="21" t="s">
        <v>65</v>
      </c>
      <c r="C77" s="26"/>
      <c r="D77" s="20">
        <f>A78</f>
        <v>50</v>
      </c>
      <c r="E77" s="23"/>
      <c r="F77" s="32">
        <v>15</v>
      </c>
      <c r="G77" s="33">
        <f>A79</f>
        <v>51</v>
      </c>
      <c r="H77" s="23" t="s">
        <v>66</v>
      </c>
    </row>
    <row r="78" spans="1:8" ht="26.4">
      <c r="A78" s="20">
        <f t="shared" si="3"/>
        <v>50</v>
      </c>
      <c r="B78" s="21" t="s">
        <v>67</v>
      </c>
      <c r="C78" s="22"/>
      <c r="D78" s="20">
        <f>A79</f>
        <v>51</v>
      </c>
      <c r="E78" s="23"/>
      <c r="F78" s="32">
        <v>7</v>
      </c>
      <c r="G78" s="33">
        <f>A79</f>
        <v>51</v>
      </c>
      <c r="H78" s="23" t="s">
        <v>64</v>
      </c>
    </row>
    <row r="79" spans="1:8" ht="26.4">
      <c r="A79" s="20">
        <f t="shared" si="3"/>
        <v>51</v>
      </c>
      <c r="B79" s="21" t="s">
        <v>68</v>
      </c>
      <c r="C79" s="26"/>
      <c r="D79" s="20">
        <f>A80</f>
        <v>52</v>
      </c>
      <c r="E79" s="23"/>
      <c r="F79" s="24"/>
      <c r="G79" s="20">
        <f>A81</f>
        <v>53</v>
      </c>
      <c r="H79" s="23"/>
    </row>
    <row r="80" spans="1:8" ht="26.4">
      <c r="A80" s="20">
        <f t="shared" si="3"/>
        <v>52</v>
      </c>
      <c r="B80" s="21" t="s">
        <v>69</v>
      </c>
      <c r="C80" s="22"/>
      <c r="D80" s="20">
        <f>A82</f>
        <v>54</v>
      </c>
      <c r="E80" s="23"/>
      <c r="F80" s="32">
        <v>70</v>
      </c>
      <c r="G80" s="20">
        <f>D80</f>
        <v>54</v>
      </c>
      <c r="H80" s="23" t="s">
        <v>64</v>
      </c>
    </row>
    <row r="81" spans="1:8" ht="26.4">
      <c r="A81" s="20">
        <f t="shared" si="3"/>
        <v>53</v>
      </c>
      <c r="B81" s="21" t="s">
        <v>70</v>
      </c>
      <c r="C81" s="22"/>
      <c r="D81" s="20">
        <f>D80</f>
        <v>54</v>
      </c>
      <c r="E81" s="23"/>
      <c r="F81" s="32">
        <v>10</v>
      </c>
      <c r="G81" s="20">
        <f>G80</f>
        <v>54</v>
      </c>
      <c r="H81" s="23" t="s">
        <v>71</v>
      </c>
    </row>
    <row r="82" spans="1:8" ht="39.6">
      <c r="A82" s="20">
        <f t="shared" si="3"/>
        <v>54</v>
      </c>
      <c r="B82" s="21" t="s">
        <v>72</v>
      </c>
      <c r="C82" s="26"/>
      <c r="D82" s="20">
        <f>A83</f>
        <v>55</v>
      </c>
      <c r="E82" s="23"/>
      <c r="F82" s="25"/>
      <c r="G82" s="20"/>
      <c r="H82" s="23" t="s">
        <v>73</v>
      </c>
    </row>
    <row r="83" spans="1:8" ht="39.6">
      <c r="A83" s="20">
        <f t="shared" si="3"/>
        <v>55</v>
      </c>
      <c r="B83" s="21" t="s">
        <v>74</v>
      </c>
      <c r="C83" s="22"/>
      <c r="D83" s="20">
        <f>A84</f>
        <v>56</v>
      </c>
      <c r="E83" s="23"/>
      <c r="F83" s="32">
        <v>30</v>
      </c>
      <c r="G83" s="20">
        <f>A84</f>
        <v>56</v>
      </c>
      <c r="H83" s="23" t="s">
        <v>75</v>
      </c>
    </row>
    <row r="84" spans="1:8" ht="26.4">
      <c r="A84" s="20">
        <f t="shared" si="3"/>
        <v>56</v>
      </c>
      <c r="B84" s="21" t="s">
        <v>76</v>
      </c>
      <c r="C84" s="22"/>
      <c r="D84" s="20">
        <f>A86</f>
        <v>57</v>
      </c>
      <c r="E84" s="23"/>
      <c r="F84" s="25"/>
      <c r="G84" s="20"/>
      <c r="H84" s="23" t="s">
        <v>77</v>
      </c>
    </row>
    <row r="85" spans="1:8" ht="13.2">
      <c r="A85" s="66" t="s">
        <v>78</v>
      </c>
      <c r="B85" s="66"/>
      <c r="C85" s="66"/>
      <c r="D85" s="66"/>
      <c r="E85" s="66"/>
      <c r="F85" s="66"/>
      <c r="G85" s="66"/>
      <c r="H85" s="66"/>
    </row>
    <row r="86" spans="1:8">
      <c r="A86" s="20">
        <f>A84+1</f>
        <v>57</v>
      </c>
      <c r="B86" s="21" t="s">
        <v>79</v>
      </c>
      <c r="C86" s="26"/>
      <c r="D86" s="20">
        <f t="shared" ref="D86:D91" si="4">A87</f>
        <v>58</v>
      </c>
      <c r="E86" s="23"/>
      <c r="F86" s="31"/>
      <c r="G86" s="20">
        <f>A91</f>
        <v>62</v>
      </c>
      <c r="H86" s="23"/>
    </row>
    <row r="87" spans="1:8" ht="26.4">
      <c r="A87" s="20">
        <f t="shared" ref="A87:A92" si="5">A86+1</f>
        <v>58</v>
      </c>
      <c r="B87" s="21" t="s">
        <v>80</v>
      </c>
      <c r="C87" s="26"/>
      <c r="D87" s="20">
        <f t="shared" si="4"/>
        <v>59</v>
      </c>
      <c r="E87" s="23"/>
      <c r="F87" s="25"/>
      <c r="G87" s="20"/>
      <c r="H87" s="23" t="s">
        <v>81</v>
      </c>
    </row>
    <row r="88" spans="1:8" ht="39.6">
      <c r="A88" s="20">
        <f t="shared" si="5"/>
        <v>59</v>
      </c>
      <c r="B88" s="21" t="s">
        <v>82</v>
      </c>
      <c r="C88" s="26"/>
      <c r="D88" s="20">
        <f t="shared" si="4"/>
        <v>60</v>
      </c>
      <c r="E88" s="23"/>
      <c r="F88" s="32">
        <v>7</v>
      </c>
      <c r="G88" s="20">
        <f>D88</f>
        <v>60</v>
      </c>
      <c r="H88" s="23" t="s">
        <v>83</v>
      </c>
    </row>
    <row r="89" spans="1:8" ht="52.8">
      <c r="A89" s="20">
        <f t="shared" si="5"/>
        <v>60</v>
      </c>
      <c r="B89" s="21" t="s">
        <v>84</v>
      </c>
      <c r="C89" s="26"/>
      <c r="D89" s="20">
        <f t="shared" si="4"/>
        <v>61</v>
      </c>
      <c r="E89" s="23"/>
      <c r="F89" s="25"/>
      <c r="G89" s="20"/>
      <c r="H89" s="23" t="s">
        <v>85</v>
      </c>
    </row>
    <row r="90" spans="1:8" ht="52.8">
      <c r="A90" s="20">
        <f t="shared" si="5"/>
        <v>61</v>
      </c>
      <c r="B90" s="21" t="s">
        <v>86</v>
      </c>
      <c r="C90" s="32">
        <v>7</v>
      </c>
      <c r="D90" s="20">
        <f t="shared" si="4"/>
        <v>62</v>
      </c>
      <c r="E90" s="23" t="s">
        <v>87</v>
      </c>
      <c r="F90" s="32">
        <v>30</v>
      </c>
      <c r="G90" s="20">
        <f>A91</f>
        <v>62</v>
      </c>
      <c r="H90" s="23" t="s">
        <v>88</v>
      </c>
    </row>
    <row r="91" spans="1:8" ht="39.6">
      <c r="A91" s="20">
        <f t="shared" si="5"/>
        <v>62</v>
      </c>
      <c r="B91" s="21" t="s">
        <v>89</v>
      </c>
      <c r="C91" s="22"/>
      <c r="D91" s="20">
        <f t="shared" si="4"/>
        <v>63</v>
      </c>
      <c r="E91" s="23"/>
      <c r="F91" s="32">
        <v>3</v>
      </c>
      <c r="G91" s="20">
        <f>A92</f>
        <v>63</v>
      </c>
      <c r="H91" s="23" t="s">
        <v>90</v>
      </c>
    </row>
    <row r="92" spans="1:8" ht="66">
      <c r="A92" s="20">
        <f t="shared" si="5"/>
        <v>63</v>
      </c>
      <c r="B92" s="21" t="s">
        <v>91</v>
      </c>
      <c r="C92" s="22"/>
      <c r="D92" s="20">
        <f>A94</f>
        <v>64</v>
      </c>
      <c r="E92" s="23" t="s">
        <v>51</v>
      </c>
      <c r="F92" s="25"/>
      <c r="G92" s="20"/>
      <c r="H92" s="23" t="s">
        <v>92</v>
      </c>
    </row>
    <row r="93" spans="1:8" ht="13.2">
      <c r="A93" s="66" t="s">
        <v>93</v>
      </c>
      <c r="B93" s="66"/>
      <c r="C93" s="66"/>
      <c r="D93" s="66"/>
      <c r="E93" s="66"/>
      <c r="F93" s="66"/>
      <c r="G93" s="66"/>
      <c r="H93" s="66"/>
    </row>
    <row r="94" spans="1:8" ht="26.4">
      <c r="A94" s="20">
        <f>A92+1</f>
        <v>64</v>
      </c>
      <c r="B94" s="21" t="s">
        <v>94</v>
      </c>
      <c r="C94" s="26"/>
      <c r="D94" s="20">
        <f>A95</f>
        <v>65</v>
      </c>
      <c r="E94" s="23" t="s">
        <v>51</v>
      </c>
      <c r="F94" s="25"/>
      <c r="G94" s="20"/>
      <c r="H94" s="23" t="s">
        <v>95</v>
      </c>
    </row>
    <row r="95" spans="1:8" ht="52.8">
      <c r="A95" s="20">
        <f>A94+1</f>
        <v>65</v>
      </c>
      <c r="B95" s="21" t="s">
        <v>96</v>
      </c>
      <c r="C95" s="22"/>
      <c r="D95" s="20">
        <f>A96</f>
        <v>66</v>
      </c>
      <c r="E95" s="23" t="s">
        <v>51</v>
      </c>
      <c r="F95" s="25"/>
      <c r="G95" s="20"/>
      <c r="H95" s="23" t="s">
        <v>97</v>
      </c>
    </row>
    <row r="96" spans="1:8" ht="105.6">
      <c r="A96" s="20">
        <f>A95+1</f>
        <v>66</v>
      </c>
      <c r="B96" s="21" t="s">
        <v>98</v>
      </c>
      <c r="C96" s="22"/>
      <c r="D96" s="20">
        <f>A97</f>
        <v>67</v>
      </c>
      <c r="E96" s="23"/>
      <c r="F96" s="32">
        <v>25</v>
      </c>
      <c r="G96" s="20">
        <f>A97</f>
        <v>67</v>
      </c>
      <c r="H96" s="23" t="s">
        <v>99</v>
      </c>
    </row>
    <row r="97" spans="1:8" ht="66">
      <c r="A97" s="20">
        <f>A96+1</f>
        <v>67</v>
      </c>
      <c r="B97" s="21" t="s">
        <v>100</v>
      </c>
      <c r="C97" s="22"/>
      <c r="D97" s="20">
        <f>A98</f>
        <v>68</v>
      </c>
      <c r="E97" s="23" t="s">
        <v>51</v>
      </c>
      <c r="F97" s="32">
        <v>10</v>
      </c>
      <c r="G97" s="20">
        <f>D97</f>
        <v>68</v>
      </c>
      <c r="H97" s="23" t="s">
        <v>101</v>
      </c>
    </row>
    <row r="98" spans="1:8" ht="26.4">
      <c r="A98" s="20">
        <f>A97+1</f>
        <v>68</v>
      </c>
      <c r="B98" s="21" t="s">
        <v>102</v>
      </c>
      <c r="C98" s="22"/>
      <c r="D98" s="20">
        <f>A99</f>
        <v>69</v>
      </c>
      <c r="E98" s="23" t="s">
        <v>51</v>
      </c>
      <c r="F98" s="25"/>
      <c r="G98" s="20"/>
      <c r="H98" s="23" t="s">
        <v>103</v>
      </c>
    </row>
    <row r="99" spans="1:8" ht="39.6">
      <c r="A99" s="20">
        <f>A98+1</f>
        <v>69</v>
      </c>
      <c r="B99" s="21" t="s">
        <v>104</v>
      </c>
      <c r="C99" s="22"/>
      <c r="D99" s="20">
        <f>A101</f>
        <v>70</v>
      </c>
      <c r="E99" s="23" t="s">
        <v>51</v>
      </c>
      <c r="F99" s="32">
        <v>30</v>
      </c>
      <c r="G99" s="20">
        <f>A101</f>
        <v>70</v>
      </c>
      <c r="H99" s="23" t="s">
        <v>105</v>
      </c>
    </row>
    <row r="100" spans="1:8" ht="13.2">
      <c r="A100" s="66" t="s">
        <v>106</v>
      </c>
      <c r="B100" s="66"/>
      <c r="C100" s="66"/>
      <c r="D100" s="66"/>
      <c r="E100" s="66"/>
      <c r="F100" s="66"/>
      <c r="G100" s="66"/>
      <c r="H100" s="66"/>
    </row>
    <row r="101" spans="1:8" ht="26.4">
      <c r="A101" s="20">
        <f>A99+1</f>
        <v>70</v>
      </c>
      <c r="B101" s="21" t="s">
        <v>107</v>
      </c>
      <c r="C101" s="26"/>
      <c r="D101" s="20">
        <f>A102</f>
        <v>71</v>
      </c>
      <c r="E101" s="23" t="s">
        <v>51</v>
      </c>
      <c r="F101" s="25"/>
      <c r="G101" s="20"/>
      <c r="H101" s="23" t="s">
        <v>108</v>
      </c>
    </row>
    <row r="102" spans="1:8" ht="26.4">
      <c r="A102" s="20">
        <f t="shared" ref="A102:A119" si="6">A101+1</f>
        <v>71</v>
      </c>
      <c r="B102" s="21" t="s">
        <v>109</v>
      </c>
      <c r="C102" s="26"/>
      <c r="D102" s="20">
        <f>A103</f>
        <v>72</v>
      </c>
      <c r="E102" s="23" t="s">
        <v>51</v>
      </c>
      <c r="F102" s="32">
        <v>10</v>
      </c>
      <c r="G102" s="20">
        <f>A106</f>
        <v>75</v>
      </c>
      <c r="H102" s="23" t="s">
        <v>110</v>
      </c>
    </row>
    <row r="103" spans="1:8" ht="26.4">
      <c r="A103" s="20">
        <f t="shared" si="6"/>
        <v>72</v>
      </c>
      <c r="B103" s="21" t="s">
        <v>111</v>
      </c>
      <c r="C103" s="22"/>
      <c r="D103" s="20"/>
      <c r="E103" s="23" t="s">
        <v>51</v>
      </c>
      <c r="F103" s="32">
        <v>10</v>
      </c>
      <c r="G103" s="20">
        <f>A106</f>
        <v>75</v>
      </c>
      <c r="H103" s="23" t="s">
        <v>112</v>
      </c>
    </row>
    <row r="104" spans="1:8">
      <c r="A104" s="20">
        <f t="shared" si="6"/>
        <v>73</v>
      </c>
      <c r="B104" s="21" t="s">
        <v>113</v>
      </c>
      <c r="C104" s="26"/>
      <c r="D104" s="20">
        <f>A105</f>
        <v>74</v>
      </c>
      <c r="E104" s="23" t="s">
        <v>51</v>
      </c>
      <c r="F104" s="31"/>
      <c r="G104" s="20">
        <f>A106</f>
        <v>75</v>
      </c>
      <c r="H104" s="23" t="s">
        <v>51</v>
      </c>
    </row>
    <row r="105" spans="1:8" ht="39.6">
      <c r="A105" s="20">
        <f t="shared" si="6"/>
        <v>74</v>
      </c>
      <c r="B105" s="21" t="s">
        <v>114</v>
      </c>
      <c r="C105" s="30"/>
      <c r="D105" s="20"/>
      <c r="E105" s="23" t="s">
        <v>115</v>
      </c>
      <c r="F105" s="31"/>
      <c r="G105" s="20">
        <f>G104</f>
        <v>75</v>
      </c>
      <c r="H105" s="23" t="s">
        <v>51</v>
      </c>
    </row>
    <row r="106" spans="1:8">
      <c r="A106" s="20">
        <f t="shared" si="6"/>
        <v>75</v>
      </c>
      <c r="B106" s="21" t="s">
        <v>116</v>
      </c>
      <c r="C106" s="26"/>
      <c r="D106" s="20">
        <f t="shared" ref="D106:D111" si="7">A107</f>
        <v>76</v>
      </c>
      <c r="E106" s="23" t="s">
        <v>51</v>
      </c>
      <c r="F106" s="31"/>
      <c r="G106" s="20">
        <f>A110</f>
        <v>79</v>
      </c>
      <c r="H106" s="23" t="s">
        <v>51</v>
      </c>
    </row>
    <row r="107" spans="1:8" ht="39.6">
      <c r="A107" s="20">
        <f t="shared" si="6"/>
        <v>76</v>
      </c>
      <c r="B107" s="21" t="s">
        <v>117</v>
      </c>
      <c r="C107" s="26"/>
      <c r="D107" s="20">
        <f t="shared" si="7"/>
        <v>77</v>
      </c>
      <c r="E107" s="23"/>
      <c r="F107" s="25"/>
      <c r="G107" s="20"/>
      <c r="H107" s="23" t="s">
        <v>118</v>
      </c>
    </row>
    <row r="108" spans="1:8" ht="52.8">
      <c r="A108" s="20">
        <f t="shared" si="6"/>
        <v>77</v>
      </c>
      <c r="B108" s="21" t="s">
        <v>119</v>
      </c>
      <c r="C108" s="32">
        <v>7</v>
      </c>
      <c r="D108" s="20">
        <f t="shared" si="7"/>
        <v>78</v>
      </c>
      <c r="E108" s="23" t="s">
        <v>120</v>
      </c>
      <c r="F108" s="32">
        <v>30</v>
      </c>
      <c r="G108" s="20">
        <f>A109</f>
        <v>78</v>
      </c>
      <c r="H108" s="23" t="s">
        <v>88</v>
      </c>
    </row>
    <row r="109" spans="1:8" ht="39.6">
      <c r="A109" s="20">
        <f t="shared" si="6"/>
        <v>78</v>
      </c>
      <c r="B109" s="21" t="s">
        <v>121</v>
      </c>
      <c r="C109" s="31"/>
      <c r="D109" s="20">
        <f t="shared" si="7"/>
        <v>79</v>
      </c>
      <c r="E109" s="23"/>
      <c r="F109" s="25"/>
      <c r="G109" s="20"/>
      <c r="H109" s="23" t="s">
        <v>122</v>
      </c>
    </row>
    <row r="110" spans="1:8" ht="26.4">
      <c r="A110" s="20">
        <f t="shared" si="6"/>
        <v>79</v>
      </c>
      <c r="B110" s="21" t="s">
        <v>123</v>
      </c>
      <c r="C110" s="22"/>
      <c r="D110" s="20">
        <f t="shared" si="7"/>
        <v>80</v>
      </c>
      <c r="E110" s="23" t="s">
        <v>51</v>
      </c>
      <c r="F110" s="25"/>
      <c r="G110" s="20"/>
      <c r="H110" s="23" t="s">
        <v>124</v>
      </c>
    </row>
    <row r="111" spans="1:8" ht="26.4">
      <c r="A111" s="20">
        <f t="shared" si="6"/>
        <v>80</v>
      </c>
      <c r="B111" s="21" t="s">
        <v>125</v>
      </c>
      <c r="C111" s="26"/>
      <c r="D111" s="20">
        <f t="shared" si="7"/>
        <v>81</v>
      </c>
      <c r="E111" s="23" t="s">
        <v>51</v>
      </c>
      <c r="F111" s="32">
        <v>35</v>
      </c>
      <c r="G111" s="20">
        <f>A121</f>
        <v>89</v>
      </c>
      <c r="H111" s="23" t="s">
        <v>126</v>
      </c>
    </row>
    <row r="112" spans="1:8" ht="39.6">
      <c r="A112" s="20">
        <f t="shared" si="6"/>
        <v>81</v>
      </c>
      <c r="B112" s="21" t="s">
        <v>127</v>
      </c>
      <c r="C112" s="30"/>
      <c r="D112" s="20"/>
      <c r="E112" s="23" t="s">
        <v>243</v>
      </c>
      <c r="F112" s="24"/>
      <c r="G112" s="20">
        <f>A113</f>
        <v>82</v>
      </c>
      <c r="H112" s="23" t="s">
        <v>51</v>
      </c>
    </row>
    <row r="113" spans="1:8" ht="39.6">
      <c r="A113" s="20">
        <f t="shared" si="6"/>
        <v>82</v>
      </c>
      <c r="B113" s="21" t="s">
        <v>128</v>
      </c>
      <c r="C113" s="26"/>
      <c r="D113" s="20">
        <f>A114</f>
        <v>83</v>
      </c>
      <c r="E113" s="23" t="s">
        <v>51</v>
      </c>
      <c r="F113" s="32">
        <v>3</v>
      </c>
      <c r="G113" s="20">
        <f>A116</f>
        <v>85</v>
      </c>
      <c r="H113" s="23" t="s">
        <v>244</v>
      </c>
    </row>
    <row r="114" spans="1:8" ht="39.6">
      <c r="A114" s="20">
        <f>A113+1</f>
        <v>83</v>
      </c>
      <c r="B114" s="21" t="s">
        <v>129</v>
      </c>
      <c r="C114" s="30"/>
      <c r="D114" s="20"/>
      <c r="E114" s="23" t="s">
        <v>239</v>
      </c>
      <c r="F114" s="31"/>
      <c r="G114" s="20">
        <f>A115</f>
        <v>84</v>
      </c>
      <c r="H114" s="23" t="s">
        <v>51</v>
      </c>
    </row>
    <row r="115" spans="1:8" ht="79.2">
      <c r="A115" s="20">
        <f t="shared" si="6"/>
        <v>84</v>
      </c>
      <c r="B115" s="21" t="s">
        <v>130</v>
      </c>
      <c r="C115" s="22"/>
      <c r="D115" s="20">
        <f>A116</f>
        <v>85</v>
      </c>
      <c r="E115" s="23" t="s">
        <v>51</v>
      </c>
      <c r="F115" s="32">
        <v>3</v>
      </c>
      <c r="G115" s="20">
        <f>A116</f>
        <v>85</v>
      </c>
      <c r="H115" s="23" t="s">
        <v>131</v>
      </c>
    </row>
    <row r="116" spans="1:8">
      <c r="A116" s="20">
        <f t="shared" si="6"/>
        <v>85</v>
      </c>
      <c r="B116" s="21" t="s">
        <v>132</v>
      </c>
      <c r="C116" s="26"/>
      <c r="D116" s="20">
        <f>A117</f>
        <v>86</v>
      </c>
      <c r="E116" s="23" t="s">
        <v>51</v>
      </c>
      <c r="F116" s="31"/>
      <c r="G116" s="20">
        <f>A121</f>
        <v>89</v>
      </c>
      <c r="H116" s="23" t="s">
        <v>51</v>
      </c>
    </row>
    <row r="117" spans="1:8" ht="39.6">
      <c r="A117" s="20">
        <f t="shared" si="6"/>
        <v>86</v>
      </c>
      <c r="B117" s="21" t="s">
        <v>133</v>
      </c>
      <c r="C117" s="26"/>
      <c r="D117" s="20"/>
      <c r="E117" s="23"/>
      <c r="F117" s="25"/>
      <c r="G117" s="20"/>
      <c r="H117" s="23" t="s">
        <v>118</v>
      </c>
    </row>
    <row r="118" spans="1:8" ht="52.8">
      <c r="A118" s="20">
        <f t="shared" si="6"/>
        <v>87</v>
      </c>
      <c r="B118" s="21" t="s">
        <v>134</v>
      </c>
      <c r="C118" s="32">
        <v>7</v>
      </c>
      <c r="D118" s="20">
        <f>A119</f>
        <v>88</v>
      </c>
      <c r="E118" s="23" t="s">
        <v>135</v>
      </c>
      <c r="F118" s="32">
        <v>30</v>
      </c>
      <c r="G118" s="20">
        <f>A119</f>
        <v>88</v>
      </c>
      <c r="H118" s="23" t="s">
        <v>136</v>
      </c>
    </row>
    <row r="119" spans="1:8" ht="39.6">
      <c r="A119" s="20">
        <f t="shared" si="6"/>
        <v>88</v>
      </c>
      <c r="B119" s="21" t="s">
        <v>137</v>
      </c>
      <c r="C119" s="31"/>
      <c r="D119" s="20">
        <f>G116</f>
        <v>89</v>
      </c>
      <c r="E119" s="23"/>
      <c r="F119" s="25"/>
      <c r="G119" s="20"/>
      <c r="H119" s="23" t="s">
        <v>138</v>
      </c>
    </row>
    <row r="120" spans="1:8" ht="15.6" customHeight="1">
      <c r="A120" s="66" t="s">
        <v>139</v>
      </c>
      <c r="B120" s="66"/>
      <c r="C120" s="66"/>
      <c r="D120" s="66"/>
      <c r="E120" s="66"/>
      <c r="F120" s="66"/>
      <c r="G120" s="66"/>
      <c r="H120" s="66"/>
    </row>
    <row r="121" spans="1:8" ht="39.6">
      <c r="A121" s="20">
        <f>A119+1</f>
        <v>89</v>
      </c>
      <c r="B121" s="21" t="s">
        <v>140</v>
      </c>
      <c r="C121" s="26"/>
      <c r="D121" s="20">
        <f>A122</f>
        <v>90</v>
      </c>
      <c r="E121" s="23" t="s">
        <v>51</v>
      </c>
      <c r="F121" s="32">
        <v>50</v>
      </c>
      <c r="G121" s="20">
        <f>A157</f>
        <v>106</v>
      </c>
      <c r="H121" s="23" t="s">
        <v>141</v>
      </c>
    </row>
    <row r="122" spans="1:8" ht="26.4">
      <c r="A122" s="20">
        <f t="shared" ref="A122:A136" si="8">A121+1</f>
        <v>90</v>
      </c>
      <c r="B122" s="21" t="s">
        <v>142</v>
      </c>
      <c r="C122" s="26"/>
      <c r="D122" s="20">
        <f>A123</f>
        <v>91</v>
      </c>
      <c r="E122" s="23" t="s">
        <v>51</v>
      </c>
      <c r="F122" s="32">
        <v>1</v>
      </c>
      <c r="G122" s="20">
        <f>A126</f>
        <v>94</v>
      </c>
      <c r="H122" s="23" t="s">
        <v>143</v>
      </c>
    </row>
    <row r="123" spans="1:8" ht="26.4">
      <c r="A123" s="20">
        <f t="shared" si="8"/>
        <v>91</v>
      </c>
      <c r="B123" s="21" t="s">
        <v>144</v>
      </c>
      <c r="C123" s="26"/>
      <c r="D123" s="20">
        <f>A124</f>
        <v>92</v>
      </c>
      <c r="E123" s="23" t="s">
        <v>51</v>
      </c>
      <c r="F123" s="31"/>
      <c r="G123" s="20">
        <f>A125</f>
        <v>93</v>
      </c>
      <c r="H123" s="23" t="s">
        <v>51</v>
      </c>
    </row>
    <row r="124" spans="1:8" ht="52.8">
      <c r="A124" s="20">
        <f t="shared" si="8"/>
        <v>92</v>
      </c>
      <c r="B124" s="21" t="s">
        <v>145</v>
      </c>
      <c r="C124" s="22"/>
      <c r="D124" s="20">
        <f>A125</f>
        <v>93</v>
      </c>
      <c r="E124" s="23" t="s">
        <v>51</v>
      </c>
      <c r="F124" s="25"/>
      <c r="G124" s="20"/>
      <c r="H124" s="23" t="s">
        <v>146</v>
      </c>
    </row>
    <row r="125" spans="1:8" ht="39.6">
      <c r="A125" s="20">
        <f t="shared" si="8"/>
        <v>93</v>
      </c>
      <c r="B125" s="21" t="s">
        <v>147</v>
      </c>
      <c r="C125" s="30"/>
      <c r="D125" s="20"/>
      <c r="E125" s="23" t="s">
        <v>148</v>
      </c>
      <c r="F125" s="31"/>
      <c r="G125" s="20">
        <f>A126</f>
        <v>94</v>
      </c>
      <c r="H125" s="23" t="s">
        <v>51</v>
      </c>
    </row>
    <row r="126" spans="1:8" ht="39.6">
      <c r="A126" s="20">
        <f t="shared" si="8"/>
        <v>94</v>
      </c>
      <c r="B126" s="21" t="s">
        <v>149</v>
      </c>
      <c r="C126" s="26"/>
      <c r="D126" s="20">
        <f>A127</f>
        <v>95</v>
      </c>
      <c r="E126" s="23" t="s">
        <v>51</v>
      </c>
      <c r="F126" s="32">
        <v>50</v>
      </c>
      <c r="G126" s="20">
        <f>A157</f>
        <v>106</v>
      </c>
      <c r="H126" s="23" t="s">
        <v>141</v>
      </c>
    </row>
    <row r="127" spans="1:8" ht="26.4">
      <c r="A127" s="20">
        <f t="shared" si="8"/>
        <v>95</v>
      </c>
      <c r="B127" s="21" t="s">
        <v>150</v>
      </c>
      <c r="C127" s="22"/>
      <c r="D127" s="20">
        <f>A128</f>
        <v>96</v>
      </c>
      <c r="E127" s="23" t="s">
        <v>51</v>
      </c>
      <c r="F127" s="25"/>
      <c r="G127" s="20"/>
      <c r="H127" s="23" t="s">
        <v>151</v>
      </c>
    </row>
    <row r="128" spans="1:8" ht="26.4">
      <c r="A128" s="20">
        <f t="shared" si="8"/>
        <v>96</v>
      </c>
      <c r="B128" s="21" t="s">
        <v>152</v>
      </c>
      <c r="C128" s="26"/>
      <c r="D128" s="20">
        <f>A130</f>
        <v>98</v>
      </c>
      <c r="E128" s="23"/>
      <c r="F128" s="24"/>
      <c r="G128" s="20">
        <f>A129</f>
        <v>97</v>
      </c>
      <c r="H128" s="23"/>
    </row>
    <row r="129" spans="1:8" ht="39.6">
      <c r="A129" s="20">
        <f t="shared" si="8"/>
        <v>97</v>
      </c>
      <c r="B129" s="21" t="s">
        <v>153</v>
      </c>
      <c r="C129" s="27" t="s">
        <v>154</v>
      </c>
      <c r="D129" s="20">
        <f>A135</f>
        <v>103</v>
      </c>
      <c r="E129" s="23" t="s">
        <v>155</v>
      </c>
      <c r="F129" s="32">
        <v>50</v>
      </c>
      <c r="G129" s="20">
        <f>A135</f>
        <v>103</v>
      </c>
      <c r="H129" s="23" t="s">
        <v>156</v>
      </c>
    </row>
    <row r="130" spans="1:8" ht="39.6">
      <c r="A130" s="20">
        <f t="shared" si="8"/>
        <v>98</v>
      </c>
      <c r="B130" s="21" t="s">
        <v>157</v>
      </c>
      <c r="C130" s="22"/>
      <c r="D130" s="20">
        <f>A132</f>
        <v>100</v>
      </c>
      <c r="E130" s="34"/>
      <c r="F130" s="20"/>
      <c r="G130" s="20">
        <f>A131</f>
        <v>99</v>
      </c>
      <c r="H130" s="23"/>
    </row>
    <row r="131" spans="1:8" ht="39.6">
      <c r="A131" s="20">
        <f t="shared" si="8"/>
        <v>99</v>
      </c>
      <c r="B131" s="21" t="s">
        <v>158</v>
      </c>
      <c r="C131" s="32">
        <v>3</v>
      </c>
      <c r="D131" s="20">
        <f>A132</f>
        <v>100</v>
      </c>
      <c r="E131" s="23" t="s">
        <v>159</v>
      </c>
      <c r="F131" s="32">
        <v>10</v>
      </c>
      <c r="G131" s="20">
        <f>A132</f>
        <v>100</v>
      </c>
      <c r="H131" s="23" t="s">
        <v>160</v>
      </c>
    </row>
    <row r="132" spans="1:8" ht="26.4">
      <c r="A132" s="20">
        <f t="shared" si="8"/>
        <v>100</v>
      </c>
      <c r="B132" s="21" t="s">
        <v>153</v>
      </c>
      <c r="C132" s="26"/>
      <c r="D132" s="20">
        <f>A133</f>
        <v>101</v>
      </c>
      <c r="E132" s="23"/>
      <c r="F132" s="32">
        <v>7</v>
      </c>
      <c r="G132" s="20">
        <f>A134</f>
        <v>102</v>
      </c>
      <c r="H132" s="23" t="s">
        <v>161</v>
      </c>
    </row>
    <row r="133" spans="1:8" ht="52.8">
      <c r="A133" s="20">
        <f t="shared" si="8"/>
        <v>101</v>
      </c>
      <c r="B133" s="21" t="s">
        <v>162</v>
      </c>
      <c r="C133" s="22"/>
      <c r="D133" s="20">
        <f>A134</f>
        <v>102</v>
      </c>
      <c r="E133" s="23"/>
      <c r="F133" s="32">
        <v>15</v>
      </c>
      <c r="G133" s="20">
        <f>A134</f>
        <v>102</v>
      </c>
      <c r="H133" s="23" t="s">
        <v>163</v>
      </c>
    </row>
    <row r="134" spans="1:8" ht="52.8">
      <c r="A134" s="20">
        <f t="shared" si="8"/>
        <v>102</v>
      </c>
      <c r="B134" s="21" t="s">
        <v>164</v>
      </c>
      <c r="C134" s="22"/>
      <c r="D134" s="20">
        <f>A135</f>
        <v>103</v>
      </c>
      <c r="E134" s="23"/>
      <c r="F134" s="32">
        <v>7</v>
      </c>
      <c r="G134" s="20">
        <f>A135</f>
        <v>103</v>
      </c>
      <c r="H134" s="23" t="s">
        <v>165</v>
      </c>
    </row>
    <row r="135" spans="1:8" ht="39.6">
      <c r="A135" s="20">
        <f t="shared" si="8"/>
        <v>103</v>
      </c>
      <c r="B135" s="21" t="s">
        <v>166</v>
      </c>
      <c r="C135" s="22"/>
      <c r="D135" s="20">
        <f>A136</f>
        <v>104</v>
      </c>
      <c r="E135" s="23"/>
      <c r="F135" s="25"/>
      <c r="G135" s="20"/>
      <c r="H135" s="23" t="s">
        <v>167</v>
      </c>
    </row>
    <row r="136" spans="1:8" ht="39.6">
      <c r="A136" s="67">
        <f t="shared" si="8"/>
        <v>104</v>
      </c>
      <c r="B136" s="47" t="s">
        <v>168</v>
      </c>
      <c r="C136" s="26"/>
      <c r="D136" s="67">
        <f>A155</f>
        <v>105</v>
      </c>
      <c r="E136" s="69"/>
      <c r="F136" s="24"/>
      <c r="G136" s="67"/>
      <c r="H136" s="69" t="s">
        <v>169</v>
      </c>
    </row>
    <row r="137" spans="1:8">
      <c r="A137" s="67"/>
      <c r="B137" s="49" t="s">
        <v>170</v>
      </c>
      <c r="C137" s="45"/>
      <c r="D137" s="67"/>
      <c r="E137" s="69"/>
      <c r="F137" s="25"/>
      <c r="G137" s="67"/>
      <c r="H137" s="69"/>
    </row>
    <row r="138" spans="1:8">
      <c r="A138" s="67"/>
      <c r="B138" s="46" t="s">
        <v>171</v>
      </c>
      <c r="C138" s="45"/>
      <c r="D138" s="67"/>
      <c r="E138" s="69"/>
      <c r="F138" s="25"/>
      <c r="G138" s="67"/>
      <c r="H138" s="69"/>
    </row>
    <row r="139" spans="1:8">
      <c r="A139" s="67"/>
      <c r="B139" s="46" t="s">
        <v>172</v>
      </c>
      <c r="C139" s="45"/>
      <c r="D139" s="67"/>
      <c r="E139" s="69"/>
      <c r="F139" s="25"/>
      <c r="G139" s="67"/>
      <c r="H139" s="69"/>
    </row>
    <row r="140" spans="1:8">
      <c r="A140" s="67"/>
      <c r="B140" s="46" t="s">
        <v>173</v>
      </c>
      <c r="C140" s="45"/>
      <c r="D140" s="67"/>
      <c r="E140" s="69"/>
      <c r="F140" s="25"/>
      <c r="G140" s="67"/>
      <c r="H140" s="69"/>
    </row>
    <row r="141" spans="1:8">
      <c r="A141" s="67"/>
      <c r="B141" s="46" t="s">
        <v>174</v>
      </c>
      <c r="C141" s="45"/>
      <c r="D141" s="67"/>
      <c r="E141" s="69"/>
      <c r="F141" s="25"/>
      <c r="G141" s="67"/>
      <c r="H141" s="69"/>
    </row>
    <row r="142" spans="1:8">
      <c r="A142" s="67"/>
      <c r="B142" s="46" t="s">
        <v>175</v>
      </c>
      <c r="C142" s="45"/>
      <c r="D142" s="67"/>
      <c r="E142" s="69"/>
      <c r="F142" s="25"/>
      <c r="G142" s="67"/>
      <c r="H142" s="69"/>
    </row>
    <row r="143" spans="1:8">
      <c r="A143" s="67"/>
      <c r="B143" s="46" t="s">
        <v>176</v>
      </c>
      <c r="C143" s="45"/>
      <c r="D143" s="67"/>
      <c r="E143" s="69"/>
      <c r="F143" s="25"/>
      <c r="G143" s="67"/>
      <c r="H143" s="69"/>
    </row>
    <row r="144" spans="1:8">
      <c r="A144" s="67"/>
      <c r="B144" s="46" t="s">
        <v>177</v>
      </c>
      <c r="C144" s="45"/>
      <c r="D144" s="67"/>
      <c r="E144" s="69"/>
      <c r="F144" s="25"/>
      <c r="G144" s="67"/>
      <c r="H144" s="69"/>
    </row>
    <row r="145" spans="1:8">
      <c r="A145" s="67"/>
      <c r="B145" s="46" t="s">
        <v>178</v>
      </c>
      <c r="C145" s="45"/>
      <c r="D145" s="67"/>
      <c r="E145" s="69"/>
      <c r="F145" s="25"/>
      <c r="G145" s="67"/>
      <c r="H145" s="69"/>
    </row>
    <row r="146" spans="1:8">
      <c r="A146" s="67"/>
      <c r="B146" s="46" t="s">
        <v>179</v>
      </c>
      <c r="C146" s="45"/>
      <c r="D146" s="67"/>
      <c r="E146" s="69"/>
      <c r="F146" s="25"/>
      <c r="G146" s="67"/>
      <c r="H146" s="69"/>
    </row>
    <row r="147" spans="1:8">
      <c r="A147" s="67"/>
      <c r="B147" s="46" t="s">
        <v>180</v>
      </c>
      <c r="C147" s="45"/>
      <c r="D147" s="67"/>
      <c r="E147" s="69"/>
      <c r="F147" s="25"/>
      <c r="G147" s="67"/>
      <c r="H147" s="69"/>
    </row>
    <row r="148" spans="1:8">
      <c r="A148" s="67"/>
      <c r="B148" s="46" t="s">
        <v>181</v>
      </c>
      <c r="C148" s="45"/>
      <c r="D148" s="67"/>
      <c r="E148" s="69"/>
      <c r="F148" s="25"/>
      <c r="G148" s="67"/>
      <c r="H148" s="69"/>
    </row>
    <row r="149" spans="1:8">
      <c r="A149" s="67"/>
      <c r="B149" s="46" t="s">
        <v>182</v>
      </c>
      <c r="C149" s="45"/>
      <c r="D149" s="67"/>
      <c r="E149" s="69"/>
      <c r="F149" s="25"/>
      <c r="G149" s="67"/>
      <c r="H149" s="69"/>
    </row>
    <row r="150" spans="1:8">
      <c r="A150" s="67"/>
      <c r="B150" s="46" t="s">
        <v>183</v>
      </c>
      <c r="C150" s="45"/>
      <c r="D150" s="67"/>
      <c r="E150" s="69"/>
      <c r="F150" s="25"/>
      <c r="G150" s="67"/>
      <c r="H150" s="69"/>
    </row>
    <row r="151" spans="1:8">
      <c r="A151" s="67"/>
      <c r="B151" s="46" t="s">
        <v>184</v>
      </c>
      <c r="C151" s="45"/>
      <c r="D151" s="67"/>
      <c r="E151" s="69"/>
      <c r="F151" s="25"/>
      <c r="G151" s="67"/>
      <c r="H151" s="69"/>
    </row>
    <row r="152" spans="1:8">
      <c r="A152" s="67"/>
      <c r="B152" s="46" t="s">
        <v>185</v>
      </c>
      <c r="C152" s="45"/>
      <c r="D152" s="67"/>
      <c r="E152" s="69"/>
      <c r="F152" s="25"/>
      <c r="G152" s="67"/>
      <c r="H152" s="69"/>
    </row>
    <row r="153" spans="1:8">
      <c r="A153" s="67"/>
      <c r="B153" s="46" t="s">
        <v>186</v>
      </c>
      <c r="C153" s="45"/>
      <c r="D153" s="67"/>
      <c r="E153" s="69"/>
      <c r="F153" s="25"/>
      <c r="G153" s="67"/>
      <c r="H153" s="69"/>
    </row>
    <row r="154" spans="1:8">
      <c r="A154" s="67"/>
      <c r="B154" s="48" t="s">
        <v>187</v>
      </c>
      <c r="C154" s="22"/>
      <c r="D154" s="67"/>
      <c r="E154" s="69"/>
      <c r="F154" s="25"/>
      <c r="G154" s="67"/>
      <c r="H154" s="69"/>
    </row>
    <row r="155" spans="1:8" ht="39.6">
      <c r="A155" s="20">
        <f>A136+1</f>
        <v>105</v>
      </c>
      <c r="B155" s="21" t="s">
        <v>188</v>
      </c>
      <c r="C155" s="30"/>
      <c r="D155" s="20"/>
      <c r="E155" s="23" t="s">
        <v>189</v>
      </c>
      <c r="F155" s="35" t="s">
        <v>51</v>
      </c>
      <c r="G155" s="20">
        <f>A157</f>
        <v>106</v>
      </c>
      <c r="H155" s="23" t="s">
        <v>51</v>
      </c>
    </row>
    <row r="156" spans="1:8" ht="15.6" customHeight="1">
      <c r="A156" s="66" t="s">
        <v>190</v>
      </c>
      <c r="B156" s="66"/>
      <c r="C156" s="66"/>
      <c r="D156" s="66"/>
      <c r="E156" s="66"/>
      <c r="F156" s="66"/>
      <c r="G156" s="66"/>
      <c r="H156" s="66"/>
    </row>
    <row r="157" spans="1:8" ht="39.6">
      <c r="A157" s="20">
        <f>A155+1</f>
        <v>106</v>
      </c>
      <c r="B157" s="21" t="s">
        <v>191</v>
      </c>
      <c r="C157" s="22"/>
      <c r="D157" s="20">
        <f>A158</f>
        <v>107</v>
      </c>
      <c r="E157" s="23" t="s">
        <v>51</v>
      </c>
      <c r="F157" s="36" t="s">
        <v>51</v>
      </c>
      <c r="G157" s="20"/>
      <c r="H157" s="23" t="s">
        <v>192</v>
      </c>
    </row>
    <row r="158" spans="1:8" ht="26.4">
      <c r="A158" s="20">
        <f>A157+1</f>
        <v>107</v>
      </c>
      <c r="B158" s="21" t="s">
        <v>193</v>
      </c>
      <c r="C158" s="26"/>
      <c r="D158" s="20">
        <f>A159</f>
        <v>108</v>
      </c>
      <c r="E158" s="23" t="s">
        <v>51</v>
      </c>
      <c r="F158" s="35" t="s">
        <v>51</v>
      </c>
      <c r="G158" s="20">
        <f>A160</f>
        <v>109</v>
      </c>
      <c r="H158" s="23" t="s">
        <v>51</v>
      </c>
    </row>
    <row r="159" spans="1:8" ht="39.6">
      <c r="A159" s="20">
        <f>A158+1</f>
        <v>108</v>
      </c>
      <c r="B159" s="21" t="s">
        <v>194</v>
      </c>
      <c r="C159" s="22"/>
      <c r="D159" s="20">
        <f>A160</f>
        <v>109</v>
      </c>
      <c r="E159" s="23" t="s">
        <v>51</v>
      </c>
      <c r="F159" s="36" t="s">
        <v>51</v>
      </c>
      <c r="G159" s="20"/>
      <c r="H159" s="23" t="s">
        <v>146</v>
      </c>
    </row>
    <row r="160" spans="1:8" ht="26.4">
      <c r="A160" s="20">
        <f>A159+1</f>
        <v>109</v>
      </c>
      <c r="B160" s="21" t="s">
        <v>195</v>
      </c>
      <c r="C160" s="30"/>
      <c r="D160" s="20"/>
      <c r="E160" s="23" t="s">
        <v>196</v>
      </c>
      <c r="F160" s="35" t="s">
        <v>51</v>
      </c>
      <c r="G160" s="20">
        <f>A161</f>
        <v>110</v>
      </c>
      <c r="H160" s="23" t="s">
        <v>51</v>
      </c>
    </row>
    <row r="161" spans="1:8" ht="26.4">
      <c r="A161" s="20">
        <f>A160+1</f>
        <v>110</v>
      </c>
      <c r="B161" s="21" t="s">
        <v>197</v>
      </c>
      <c r="C161" s="30"/>
      <c r="D161" s="20"/>
      <c r="E161" s="23" t="s">
        <v>198</v>
      </c>
      <c r="F161" s="35" t="s">
        <v>51</v>
      </c>
      <c r="G161" s="20">
        <f>A162</f>
        <v>111</v>
      </c>
      <c r="H161" s="23" t="s">
        <v>51</v>
      </c>
    </row>
    <row r="162" spans="1:8" ht="52.8">
      <c r="A162" s="20">
        <f>A161+1</f>
        <v>111</v>
      </c>
      <c r="B162" s="21" t="s">
        <v>199</v>
      </c>
      <c r="C162" s="22"/>
      <c r="D162" s="20"/>
      <c r="E162" s="23" t="s">
        <v>51</v>
      </c>
      <c r="F162" s="37">
        <v>35</v>
      </c>
      <c r="G162" s="20"/>
      <c r="H162" s="23" t="s">
        <v>200</v>
      </c>
    </row>
    <row r="163" spans="1:8" ht="15.6" customHeight="1">
      <c r="A163" s="66" t="s">
        <v>201</v>
      </c>
      <c r="B163" s="66"/>
      <c r="C163" s="66"/>
      <c r="D163" s="66"/>
      <c r="E163" s="66"/>
      <c r="F163" s="66"/>
      <c r="G163" s="66"/>
      <c r="H163" s="66"/>
    </row>
    <row r="164" spans="1:8">
      <c r="A164" s="20">
        <f>A162+1</f>
        <v>112</v>
      </c>
      <c r="B164" s="21" t="s">
        <v>202</v>
      </c>
      <c r="C164" s="26"/>
      <c r="D164" s="20">
        <f>A165</f>
        <v>113</v>
      </c>
      <c r="E164" s="23" t="s">
        <v>51</v>
      </c>
      <c r="F164" s="37">
        <v>15</v>
      </c>
      <c r="G164" s="20">
        <f>A166</f>
        <v>114</v>
      </c>
      <c r="H164" s="23" t="s">
        <v>203</v>
      </c>
    </row>
    <row r="165" spans="1:8" ht="26.4">
      <c r="A165" s="20">
        <f>A164+1</f>
        <v>113</v>
      </c>
      <c r="B165" s="21" t="s">
        <v>204</v>
      </c>
      <c r="C165" s="22"/>
      <c r="D165" s="20">
        <f>A166</f>
        <v>114</v>
      </c>
      <c r="E165" s="23" t="s">
        <v>51</v>
      </c>
      <c r="F165" s="37">
        <v>7</v>
      </c>
      <c r="G165" s="20">
        <f>A166</f>
        <v>114</v>
      </c>
      <c r="H165" s="23" t="s">
        <v>205</v>
      </c>
    </row>
    <row r="166" spans="1:8" ht="39.6">
      <c r="A166" s="20">
        <f>A165+1</f>
        <v>114</v>
      </c>
      <c r="B166" s="21" t="s">
        <v>206</v>
      </c>
      <c r="C166" s="22"/>
      <c r="D166" s="20">
        <f>A167</f>
        <v>115</v>
      </c>
      <c r="E166" s="23" t="s">
        <v>51</v>
      </c>
      <c r="F166" s="37">
        <v>3</v>
      </c>
      <c r="G166" s="20">
        <f>A167</f>
        <v>115</v>
      </c>
      <c r="H166" s="23" t="s">
        <v>207</v>
      </c>
    </row>
    <row r="167" spans="1:8" ht="26.4">
      <c r="A167" s="20">
        <f>A166+1</f>
        <v>115</v>
      </c>
      <c r="B167" s="21" t="s">
        <v>208</v>
      </c>
      <c r="C167" s="22"/>
      <c r="D167" s="20">
        <f>A169</f>
        <v>116</v>
      </c>
      <c r="E167" s="23" t="s">
        <v>51</v>
      </c>
      <c r="F167" s="37">
        <v>10</v>
      </c>
      <c r="G167" s="20">
        <f>A169</f>
        <v>116</v>
      </c>
      <c r="H167" s="23" t="s">
        <v>209</v>
      </c>
    </row>
    <row r="168" spans="1:8" ht="15.6" customHeight="1">
      <c r="A168" s="66" t="s">
        <v>210</v>
      </c>
      <c r="B168" s="66"/>
      <c r="C168" s="66"/>
      <c r="D168" s="66"/>
      <c r="E168" s="66"/>
      <c r="F168" s="66"/>
      <c r="G168" s="66"/>
      <c r="H168" s="66"/>
    </row>
    <row r="169" spans="1:8" ht="39.6">
      <c r="A169" s="20">
        <f>A167+1</f>
        <v>116</v>
      </c>
      <c r="B169" s="21" t="s">
        <v>211</v>
      </c>
      <c r="C169" s="22"/>
      <c r="D169" s="20">
        <f>A170</f>
        <v>117</v>
      </c>
      <c r="E169" s="23" t="s">
        <v>51</v>
      </c>
      <c r="F169" s="37">
        <v>12</v>
      </c>
      <c r="G169" s="20">
        <f>A170</f>
        <v>117</v>
      </c>
      <c r="H169" s="23" t="s">
        <v>212</v>
      </c>
    </row>
    <row r="170" spans="1:8">
      <c r="A170" s="20">
        <f t="shared" ref="A170:A197" si="9">A169+1</f>
        <v>117</v>
      </c>
      <c r="B170" s="21" t="s">
        <v>213</v>
      </c>
      <c r="C170" s="22"/>
      <c r="D170" s="20">
        <f>A171</f>
        <v>118</v>
      </c>
      <c r="E170" s="23"/>
      <c r="F170" s="37">
        <v>18</v>
      </c>
      <c r="G170" s="20">
        <f>A171</f>
        <v>118</v>
      </c>
      <c r="H170" s="23" t="s">
        <v>214</v>
      </c>
    </row>
    <row r="171" spans="1:8" ht="39.6">
      <c r="A171" s="20">
        <f t="shared" si="9"/>
        <v>118</v>
      </c>
      <c r="B171" s="21" t="s">
        <v>215</v>
      </c>
      <c r="C171" s="22"/>
      <c r="D171" s="20">
        <f>A172</f>
        <v>119</v>
      </c>
      <c r="E171" s="23"/>
      <c r="F171" s="37">
        <v>12</v>
      </c>
      <c r="G171" s="20">
        <f>A172</f>
        <v>119</v>
      </c>
      <c r="H171" s="23" t="s">
        <v>216</v>
      </c>
    </row>
    <row r="172" spans="1:8" ht="26.4">
      <c r="A172" s="20">
        <f t="shared" si="9"/>
        <v>119</v>
      </c>
      <c r="B172" s="21" t="s">
        <v>245</v>
      </c>
      <c r="C172" s="26"/>
      <c r="D172" s="20">
        <f>A174</f>
        <v>121</v>
      </c>
      <c r="E172" s="23"/>
      <c r="F172" s="38"/>
      <c r="G172" s="20">
        <f>A173</f>
        <v>120</v>
      </c>
      <c r="H172" s="23"/>
    </row>
    <row r="173" spans="1:8" ht="26.4">
      <c r="A173" s="20">
        <f t="shared" si="9"/>
        <v>120</v>
      </c>
      <c r="B173" s="21" t="s">
        <v>246</v>
      </c>
      <c r="C173" s="26"/>
      <c r="D173" s="20">
        <f>A175</f>
        <v>122</v>
      </c>
      <c r="E173" s="23"/>
      <c r="F173" s="25"/>
      <c r="G173" s="20"/>
      <c r="H173" s="23" t="s">
        <v>217</v>
      </c>
    </row>
    <row r="174" spans="1:8" ht="26.4">
      <c r="A174" s="20">
        <f t="shared" si="9"/>
        <v>121</v>
      </c>
      <c r="B174" s="21" t="s">
        <v>218</v>
      </c>
      <c r="C174" s="22"/>
      <c r="D174" s="20">
        <f>A176</f>
        <v>123</v>
      </c>
      <c r="E174" s="23"/>
      <c r="F174" s="37">
        <v>7</v>
      </c>
      <c r="G174" s="20">
        <f>A173</f>
        <v>120</v>
      </c>
      <c r="H174" s="23" t="s">
        <v>219</v>
      </c>
    </row>
    <row r="175" spans="1:8">
      <c r="A175" s="20">
        <f t="shared" si="9"/>
        <v>122</v>
      </c>
      <c r="B175" s="21" t="s">
        <v>220</v>
      </c>
      <c r="C175" s="22"/>
      <c r="D175" s="20">
        <f>A177</f>
        <v>124</v>
      </c>
      <c r="E175" s="23"/>
      <c r="F175" s="25"/>
      <c r="G175" s="20"/>
      <c r="H175" s="23" t="s">
        <v>221</v>
      </c>
    </row>
    <row r="176" spans="1:8" ht="79.2">
      <c r="A176" s="20">
        <f t="shared" si="9"/>
        <v>123</v>
      </c>
      <c r="B176" s="21" t="s">
        <v>222</v>
      </c>
      <c r="C176" s="26"/>
      <c r="D176" s="20">
        <f>A179</f>
        <v>126</v>
      </c>
      <c r="E176" s="23"/>
      <c r="F176" s="37">
        <v>7</v>
      </c>
      <c r="G176" s="20">
        <f>A177</f>
        <v>124</v>
      </c>
      <c r="H176" s="23" t="s">
        <v>219</v>
      </c>
    </row>
    <row r="177" spans="1:8" ht="26.4">
      <c r="A177" s="20">
        <f t="shared" si="9"/>
        <v>124</v>
      </c>
      <c r="B177" s="21" t="s">
        <v>247</v>
      </c>
      <c r="C177" s="26"/>
      <c r="D177" s="20">
        <f>A180</f>
        <v>127</v>
      </c>
      <c r="E177" s="23"/>
      <c r="F177" s="38"/>
      <c r="G177" s="20">
        <f>A178</f>
        <v>125</v>
      </c>
      <c r="H177" s="23"/>
    </row>
    <row r="178" spans="1:8" ht="26.4">
      <c r="A178" s="20">
        <f t="shared" si="9"/>
        <v>125</v>
      </c>
      <c r="B178" s="21" t="s">
        <v>223</v>
      </c>
      <c r="C178" s="26"/>
      <c r="D178" s="20">
        <f>A180</f>
        <v>127</v>
      </c>
      <c r="E178" s="23"/>
      <c r="F178" s="25"/>
      <c r="G178" s="20"/>
      <c r="H178" s="23" t="s">
        <v>240</v>
      </c>
    </row>
    <row r="179" spans="1:8" ht="39.6">
      <c r="A179" s="20">
        <f t="shared" si="9"/>
        <v>126</v>
      </c>
      <c r="B179" s="21" t="s">
        <v>224</v>
      </c>
      <c r="C179" s="22"/>
      <c r="D179" s="20">
        <f>A180</f>
        <v>127</v>
      </c>
      <c r="E179" s="23"/>
      <c r="F179" s="37">
        <v>12</v>
      </c>
      <c r="G179" s="20">
        <f>A180</f>
        <v>127</v>
      </c>
      <c r="H179" s="23" t="s">
        <v>219</v>
      </c>
    </row>
    <row r="180" spans="1:8" ht="52.8">
      <c r="A180" s="20">
        <f t="shared" si="9"/>
        <v>127</v>
      </c>
      <c r="B180" s="21" t="s">
        <v>225</v>
      </c>
      <c r="C180" s="22"/>
      <c r="D180" s="20">
        <f>A181</f>
        <v>128</v>
      </c>
      <c r="E180" s="23"/>
      <c r="F180" s="37">
        <v>18</v>
      </c>
      <c r="G180" s="20">
        <f>A181</f>
        <v>128</v>
      </c>
      <c r="H180" s="23" t="s">
        <v>226</v>
      </c>
    </row>
    <row r="181" spans="1:8" ht="39.6">
      <c r="A181" s="20">
        <f t="shared" si="9"/>
        <v>128</v>
      </c>
      <c r="B181" s="21" t="s">
        <v>227</v>
      </c>
      <c r="C181" s="26"/>
      <c r="D181" s="20">
        <f>A182</f>
        <v>129</v>
      </c>
      <c r="E181" s="23"/>
      <c r="F181" s="37">
        <v>7</v>
      </c>
      <c r="G181" s="20">
        <f>A183</f>
        <v>130</v>
      </c>
      <c r="H181" s="23" t="s">
        <v>226</v>
      </c>
    </row>
    <row r="182" spans="1:8" ht="39.6">
      <c r="A182" s="20">
        <f t="shared" si="9"/>
        <v>129</v>
      </c>
      <c r="B182" s="21" t="s">
        <v>228</v>
      </c>
      <c r="C182" s="22"/>
      <c r="D182" s="20">
        <f>A183</f>
        <v>130</v>
      </c>
      <c r="E182" s="23"/>
      <c r="F182" s="37">
        <v>7</v>
      </c>
      <c r="G182" s="20">
        <f>A183</f>
        <v>130</v>
      </c>
      <c r="H182" s="23" t="s">
        <v>226</v>
      </c>
    </row>
    <row r="183" spans="1:8" ht="26.4">
      <c r="A183" s="20">
        <f t="shared" si="9"/>
        <v>130</v>
      </c>
      <c r="B183" s="21" t="s">
        <v>229</v>
      </c>
      <c r="C183" s="26"/>
      <c r="D183" s="20">
        <f>A185</f>
        <v>132</v>
      </c>
      <c r="E183" s="23"/>
      <c r="F183" s="38"/>
      <c r="G183" s="20">
        <f>A184</f>
        <v>131</v>
      </c>
      <c r="H183" s="23"/>
    </row>
    <row r="184" spans="1:8" ht="26.4">
      <c r="A184" s="20">
        <f t="shared" si="9"/>
        <v>131</v>
      </c>
      <c r="B184" s="21" t="s">
        <v>230</v>
      </c>
      <c r="C184" s="22"/>
      <c r="D184" s="20">
        <f t="shared" ref="D184:D191" si="10">A185</f>
        <v>132</v>
      </c>
      <c r="E184" s="23"/>
      <c r="F184" s="37">
        <v>10</v>
      </c>
      <c r="G184" s="20">
        <f>A185</f>
        <v>132</v>
      </c>
      <c r="H184" s="23" t="s">
        <v>231</v>
      </c>
    </row>
    <row r="185" spans="1:8" ht="26.4">
      <c r="A185" s="20">
        <f t="shared" si="9"/>
        <v>132</v>
      </c>
      <c r="B185" s="21" t="s">
        <v>232</v>
      </c>
      <c r="C185" s="22"/>
      <c r="D185" s="20">
        <f t="shared" si="10"/>
        <v>133</v>
      </c>
      <c r="E185" s="23"/>
      <c r="F185" s="37">
        <v>18</v>
      </c>
      <c r="G185" s="20">
        <f>A186</f>
        <v>133</v>
      </c>
      <c r="H185" s="23" t="s">
        <v>264</v>
      </c>
    </row>
    <row r="186" spans="1:8" ht="39.6">
      <c r="A186" s="20">
        <f t="shared" si="9"/>
        <v>133</v>
      </c>
      <c r="B186" s="21" t="s">
        <v>265</v>
      </c>
      <c r="C186" s="22"/>
      <c r="D186" s="20">
        <f t="shared" si="10"/>
        <v>134</v>
      </c>
      <c r="E186" s="23"/>
      <c r="F186" s="37">
        <v>50</v>
      </c>
      <c r="G186" s="20">
        <f>A199</f>
        <v>145</v>
      </c>
      <c r="H186" s="23" t="s">
        <v>266</v>
      </c>
    </row>
    <row r="187" spans="1:8" ht="39.6">
      <c r="A187" s="20">
        <f t="shared" si="9"/>
        <v>134</v>
      </c>
      <c r="B187" s="21" t="s">
        <v>267</v>
      </c>
      <c r="C187" s="22"/>
      <c r="D187" s="20">
        <f t="shared" si="10"/>
        <v>135</v>
      </c>
      <c r="E187" s="23"/>
      <c r="F187" s="37">
        <v>18</v>
      </c>
      <c r="G187" s="20">
        <f>A188</f>
        <v>135</v>
      </c>
      <c r="H187" s="23" t="s">
        <v>219</v>
      </c>
    </row>
    <row r="188" spans="1:8" ht="39.6">
      <c r="A188" s="20">
        <f t="shared" si="9"/>
        <v>135</v>
      </c>
      <c r="B188" s="21" t="s">
        <v>268</v>
      </c>
      <c r="C188" s="22"/>
      <c r="D188" s="20">
        <f t="shared" si="10"/>
        <v>136</v>
      </c>
      <c r="E188" s="23"/>
      <c r="F188" s="37">
        <v>18</v>
      </c>
      <c r="G188" s="20">
        <f>A189</f>
        <v>136</v>
      </c>
      <c r="H188" s="23" t="s">
        <v>269</v>
      </c>
    </row>
    <row r="189" spans="1:8" ht="39.6">
      <c r="A189" s="20">
        <f t="shared" si="9"/>
        <v>136</v>
      </c>
      <c r="B189" s="21" t="s">
        <v>270</v>
      </c>
      <c r="C189" s="22"/>
      <c r="D189" s="20">
        <f t="shared" si="10"/>
        <v>137</v>
      </c>
      <c r="E189" s="23"/>
      <c r="F189" s="37">
        <v>7</v>
      </c>
      <c r="G189" s="20">
        <f>A190</f>
        <v>137</v>
      </c>
      <c r="H189" s="23" t="s">
        <v>219</v>
      </c>
    </row>
    <row r="190" spans="1:8" ht="39.6">
      <c r="A190" s="20">
        <f t="shared" si="9"/>
        <v>137</v>
      </c>
      <c r="B190" s="21" t="s">
        <v>271</v>
      </c>
      <c r="C190" s="22"/>
      <c r="D190" s="20">
        <f t="shared" si="10"/>
        <v>138</v>
      </c>
      <c r="E190" s="23"/>
      <c r="F190" s="37">
        <v>7</v>
      </c>
      <c r="G190" s="20">
        <f>D191</f>
        <v>139</v>
      </c>
      <c r="H190" s="23" t="s">
        <v>219</v>
      </c>
    </row>
    <row r="191" spans="1:8" ht="26.4">
      <c r="A191" s="20">
        <f t="shared" si="9"/>
        <v>138</v>
      </c>
      <c r="B191" s="21" t="s">
        <v>272</v>
      </c>
      <c r="C191" s="22"/>
      <c r="D191" s="20">
        <f t="shared" si="10"/>
        <v>139</v>
      </c>
      <c r="E191" s="23"/>
      <c r="F191" s="37">
        <v>1</v>
      </c>
      <c r="G191" s="20">
        <f t="shared" ref="G191:G196" si="11">A192</f>
        <v>139</v>
      </c>
      <c r="H191" s="23" t="s">
        <v>273</v>
      </c>
    </row>
    <row r="192" spans="1:8" ht="39.6">
      <c r="A192" s="20">
        <f t="shared" si="9"/>
        <v>139</v>
      </c>
      <c r="B192" s="21" t="s">
        <v>274</v>
      </c>
      <c r="C192" s="22"/>
      <c r="D192" s="20">
        <f>A194</f>
        <v>141</v>
      </c>
      <c r="E192" s="23"/>
      <c r="F192" s="38"/>
      <c r="G192" s="20">
        <f t="shared" si="11"/>
        <v>140</v>
      </c>
      <c r="H192" s="23"/>
    </row>
    <row r="193" spans="1:8" ht="26.4">
      <c r="A193" s="20">
        <f t="shared" si="9"/>
        <v>140</v>
      </c>
      <c r="B193" s="21" t="s">
        <v>275</v>
      </c>
      <c r="C193" s="37">
        <v>25</v>
      </c>
      <c r="D193" s="20">
        <f>A194</f>
        <v>141</v>
      </c>
      <c r="E193" s="23" t="s">
        <v>276</v>
      </c>
      <c r="F193" s="22"/>
      <c r="G193" s="20">
        <f t="shared" si="11"/>
        <v>141</v>
      </c>
      <c r="H193" s="23"/>
    </row>
    <row r="194" spans="1:8" ht="39.6">
      <c r="A194" s="20">
        <f t="shared" si="9"/>
        <v>141</v>
      </c>
      <c r="B194" s="21" t="s">
        <v>277</v>
      </c>
      <c r="C194" s="22"/>
      <c r="D194" s="20">
        <f>A195</f>
        <v>142</v>
      </c>
      <c r="E194" s="23"/>
      <c r="F194" s="37">
        <v>18</v>
      </c>
      <c r="G194" s="20">
        <f t="shared" si="11"/>
        <v>142</v>
      </c>
      <c r="H194" s="23" t="s">
        <v>278</v>
      </c>
    </row>
    <row r="195" spans="1:8" ht="39.6">
      <c r="A195" s="20">
        <f t="shared" si="9"/>
        <v>142</v>
      </c>
      <c r="B195" s="21" t="s">
        <v>279</v>
      </c>
      <c r="C195" s="22"/>
      <c r="D195" s="20">
        <f>A196</f>
        <v>143</v>
      </c>
      <c r="E195" s="23"/>
      <c r="F195" s="38"/>
      <c r="G195" s="20">
        <f t="shared" si="11"/>
        <v>143</v>
      </c>
      <c r="H195" s="23"/>
    </row>
    <row r="196" spans="1:8" ht="39.6">
      <c r="A196" s="20">
        <f t="shared" si="9"/>
        <v>143</v>
      </c>
      <c r="B196" s="21" t="s">
        <v>280</v>
      </c>
      <c r="C196" s="37">
        <v>18</v>
      </c>
      <c r="D196" s="20">
        <f>A199</f>
        <v>145</v>
      </c>
      <c r="E196" s="23" t="s">
        <v>281</v>
      </c>
      <c r="F196" s="22"/>
      <c r="G196" s="20">
        <f t="shared" si="11"/>
        <v>144</v>
      </c>
      <c r="H196" s="23"/>
    </row>
    <row r="197" spans="1:8" ht="39.6">
      <c r="A197" s="20">
        <f t="shared" si="9"/>
        <v>144</v>
      </c>
      <c r="B197" s="21" t="s">
        <v>282</v>
      </c>
      <c r="C197" s="22"/>
      <c r="D197" s="20">
        <f>A199</f>
        <v>145</v>
      </c>
      <c r="E197" s="23"/>
      <c r="F197" s="37">
        <v>12</v>
      </c>
      <c r="G197" s="20">
        <f>A199</f>
        <v>145</v>
      </c>
      <c r="H197" s="23" t="s">
        <v>219</v>
      </c>
    </row>
    <row r="198" spans="1:8" ht="13.2">
      <c r="A198" s="66" t="s">
        <v>283</v>
      </c>
      <c r="B198" s="66"/>
      <c r="C198" s="66"/>
      <c r="D198" s="66"/>
      <c r="E198" s="66"/>
      <c r="F198" s="66"/>
      <c r="G198" s="66"/>
      <c r="H198" s="66"/>
    </row>
    <row r="199" spans="1:8" ht="39" customHeight="1">
      <c r="A199" s="67">
        <f>A197+1</f>
        <v>145</v>
      </c>
      <c r="B199" s="21" t="s">
        <v>284</v>
      </c>
      <c r="C199" s="26"/>
      <c r="D199" s="67">
        <f>A206</f>
        <v>146</v>
      </c>
      <c r="E199" s="69" t="s">
        <v>51</v>
      </c>
      <c r="F199" s="38" t="s">
        <v>51</v>
      </c>
      <c r="G199" s="67">
        <f>A206</f>
        <v>146</v>
      </c>
      <c r="H199" s="69" t="s">
        <v>285</v>
      </c>
    </row>
    <row r="200" spans="1:8" ht="48">
      <c r="A200" s="67"/>
      <c r="B200" s="54" t="s">
        <v>233</v>
      </c>
      <c r="C200" s="22"/>
      <c r="D200" s="67"/>
      <c r="E200" s="69"/>
      <c r="F200" s="37">
        <v>70</v>
      </c>
      <c r="G200" s="67"/>
      <c r="H200" s="69"/>
    </row>
    <row r="201" spans="1:8" ht="36">
      <c r="A201" s="67"/>
      <c r="B201" s="55" t="s">
        <v>234</v>
      </c>
      <c r="C201" s="22"/>
      <c r="D201" s="67"/>
      <c r="E201" s="69"/>
      <c r="F201" s="37">
        <v>30</v>
      </c>
      <c r="G201" s="67"/>
      <c r="H201" s="69"/>
    </row>
    <row r="202" spans="1:8" ht="48">
      <c r="A202" s="67"/>
      <c r="B202" s="55" t="s">
        <v>235</v>
      </c>
      <c r="C202" s="22"/>
      <c r="D202" s="67"/>
      <c r="E202" s="69"/>
      <c r="F202" s="37">
        <v>20</v>
      </c>
      <c r="G202" s="67"/>
      <c r="H202" s="69"/>
    </row>
    <row r="203" spans="1:8" ht="48">
      <c r="A203" s="67"/>
      <c r="B203" s="55" t="s">
        <v>236</v>
      </c>
      <c r="C203" s="22"/>
      <c r="D203" s="67"/>
      <c r="E203" s="69"/>
      <c r="F203" s="37">
        <v>7</v>
      </c>
      <c r="G203" s="67"/>
      <c r="H203" s="69"/>
    </row>
    <row r="204" spans="1:8" ht="24">
      <c r="A204" s="67"/>
      <c r="B204" s="55" t="s">
        <v>237</v>
      </c>
      <c r="C204" s="22"/>
      <c r="D204" s="67"/>
      <c r="E204" s="69"/>
      <c r="F204" s="37">
        <v>7</v>
      </c>
      <c r="G204" s="67"/>
      <c r="H204" s="69"/>
    </row>
    <row r="205" spans="1:8">
      <c r="A205" s="67"/>
      <c r="B205" s="53" t="s">
        <v>238</v>
      </c>
      <c r="C205" s="22"/>
      <c r="D205" s="67"/>
      <c r="E205" s="69"/>
      <c r="F205" s="37">
        <v>3</v>
      </c>
      <c r="G205" s="67"/>
      <c r="H205" s="69"/>
    </row>
    <row r="206" spans="1:8" ht="39.6">
      <c r="A206" s="20">
        <f>A199+1</f>
        <v>146</v>
      </c>
      <c r="B206" s="21" t="s">
        <v>286</v>
      </c>
      <c r="C206" s="26"/>
      <c r="D206" s="20">
        <f>A207</f>
        <v>147</v>
      </c>
      <c r="E206" s="23" t="s">
        <v>51</v>
      </c>
      <c r="F206" s="37">
        <v>15</v>
      </c>
      <c r="G206" s="20">
        <f>A207</f>
        <v>147</v>
      </c>
      <c r="H206" s="23" t="s">
        <v>287</v>
      </c>
    </row>
    <row r="207" spans="1:8" ht="39.6">
      <c r="A207" s="20">
        <f t="shared" ref="A207:A216" si="12">A206+1</f>
        <v>147</v>
      </c>
      <c r="B207" s="21" t="s">
        <v>288</v>
      </c>
      <c r="C207" s="26"/>
      <c r="D207" s="20">
        <f>A208</f>
        <v>148</v>
      </c>
      <c r="E207" s="23" t="s">
        <v>51</v>
      </c>
      <c r="F207" s="37">
        <v>7</v>
      </c>
      <c r="G207" s="20">
        <f>A215</f>
        <v>155</v>
      </c>
      <c r="H207" s="23" t="s">
        <v>289</v>
      </c>
    </row>
    <row r="208" spans="1:8" ht="52.8">
      <c r="A208" s="20">
        <f>A207+1</f>
        <v>148</v>
      </c>
      <c r="B208" s="21" t="s">
        <v>248</v>
      </c>
      <c r="C208" s="22"/>
      <c r="D208" s="20">
        <f>A210</f>
        <v>150</v>
      </c>
      <c r="E208" s="23" t="s">
        <v>51</v>
      </c>
      <c r="F208" s="38" t="s">
        <v>51</v>
      </c>
      <c r="G208" s="20">
        <f>A209</f>
        <v>149</v>
      </c>
      <c r="H208" s="23" t="s">
        <v>51</v>
      </c>
    </row>
    <row r="209" spans="1:8" ht="39.6">
      <c r="A209" s="20">
        <f t="shared" si="12"/>
        <v>149</v>
      </c>
      <c r="B209" s="21" t="s">
        <v>290</v>
      </c>
      <c r="C209" s="37">
        <v>10</v>
      </c>
      <c r="D209" s="20">
        <f t="shared" ref="D209:D215" si="13">A210</f>
        <v>150</v>
      </c>
      <c r="E209" s="23" t="s">
        <v>291</v>
      </c>
      <c r="F209" s="37">
        <v>35</v>
      </c>
      <c r="G209" s="20">
        <f>A210</f>
        <v>150</v>
      </c>
      <c r="H209" s="23" t="s">
        <v>292</v>
      </c>
    </row>
    <row r="210" spans="1:8" ht="26.4">
      <c r="A210" s="20">
        <f t="shared" si="12"/>
        <v>150</v>
      </c>
      <c r="B210" s="21" t="s">
        <v>293</v>
      </c>
      <c r="C210" s="22"/>
      <c r="D210" s="20">
        <f t="shared" si="13"/>
        <v>151</v>
      </c>
      <c r="E210" s="23"/>
      <c r="F210" s="37">
        <v>15</v>
      </c>
      <c r="G210" s="20">
        <f>A211</f>
        <v>151</v>
      </c>
      <c r="H210" s="23" t="s">
        <v>294</v>
      </c>
    </row>
    <row r="211" spans="1:8" ht="26.4">
      <c r="A211" s="20">
        <f t="shared" si="12"/>
        <v>151</v>
      </c>
      <c r="B211" s="21" t="s">
        <v>295</v>
      </c>
      <c r="C211" s="26"/>
      <c r="D211" s="20">
        <f t="shared" si="13"/>
        <v>152</v>
      </c>
      <c r="E211" s="39" t="s">
        <v>51</v>
      </c>
      <c r="F211" s="22"/>
      <c r="G211" s="20">
        <f>A213</f>
        <v>153</v>
      </c>
      <c r="H211" s="23"/>
    </row>
    <row r="212" spans="1:8" ht="52.8">
      <c r="A212" s="20">
        <f t="shared" si="12"/>
        <v>152</v>
      </c>
      <c r="B212" s="21" t="s">
        <v>296</v>
      </c>
      <c r="C212" s="37">
        <v>25</v>
      </c>
      <c r="D212" s="20">
        <f t="shared" si="13"/>
        <v>153</v>
      </c>
      <c r="E212" s="40" t="s">
        <v>297</v>
      </c>
      <c r="F212" s="36" t="s">
        <v>51</v>
      </c>
      <c r="G212" s="20"/>
      <c r="H212" s="23" t="s">
        <v>298</v>
      </c>
    </row>
    <row r="213" spans="1:8" ht="26.4">
      <c r="A213" s="20">
        <f t="shared" si="12"/>
        <v>153</v>
      </c>
      <c r="B213" s="21" t="s">
        <v>299</v>
      </c>
      <c r="C213" s="22"/>
      <c r="D213" s="20">
        <f t="shared" si="13"/>
        <v>154</v>
      </c>
      <c r="E213" s="39"/>
      <c r="F213" s="37">
        <v>60</v>
      </c>
      <c r="G213" s="20">
        <f>A216</f>
        <v>156</v>
      </c>
      <c r="H213" s="23" t="s">
        <v>300</v>
      </c>
    </row>
    <row r="214" spans="1:8" ht="26.4">
      <c r="A214" s="20">
        <f t="shared" si="12"/>
        <v>154</v>
      </c>
      <c r="B214" s="21" t="s">
        <v>301</v>
      </c>
      <c r="C214" s="22"/>
      <c r="D214" s="20">
        <f t="shared" si="13"/>
        <v>155</v>
      </c>
      <c r="E214" s="39"/>
      <c r="F214" s="37">
        <v>15</v>
      </c>
      <c r="G214" s="20">
        <f>A215</f>
        <v>155</v>
      </c>
      <c r="H214" s="23" t="s">
        <v>302</v>
      </c>
    </row>
    <row r="215" spans="1:8" ht="39.6">
      <c r="A215" s="20">
        <f t="shared" si="12"/>
        <v>155</v>
      </c>
      <c r="B215" s="21" t="s">
        <v>303</v>
      </c>
      <c r="C215" s="22"/>
      <c r="D215" s="20">
        <f t="shared" si="13"/>
        <v>156</v>
      </c>
      <c r="E215" s="23" t="s">
        <v>51</v>
      </c>
      <c r="F215" s="37">
        <v>7</v>
      </c>
      <c r="G215" s="20">
        <f>A216</f>
        <v>156</v>
      </c>
      <c r="H215" s="23" t="s">
        <v>304</v>
      </c>
    </row>
    <row r="216" spans="1:8" ht="39.6">
      <c r="A216" s="20">
        <f t="shared" si="12"/>
        <v>156</v>
      </c>
      <c r="B216" s="21" t="s">
        <v>305</v>
      </c>
      <c r="C216" s="22"/>
      <c r="D216" s="20">
        <f>A218</f>
        <v>157</v>
      </c>
      <c r="E216" s="23" t="s">
        <v>51</v>
      </c>
      <c r="F216" s="37">
        <v>18</v>
      </c>
      <c r="G216" s="20">
        <f>A218</f>
        <v>157</v>
      </c>
      <c r="H216" s="23" t="s">
        <v>306</v>
      </c>
    </row>
    <row r="217" spans="1:8" ht="15.6" customHeight="1">
      <c r="A217" s="66" t="s">
        <v>307</v>
      </c>
      <c r="B217" s="66"/>
      <c r="C217" s="66"/>
      <c r="D217" s="66"/>
      <c r="E217" s="66"/>
      <c r="F217" s="66"/>
      <c r="G217" s="66"/>
      <c r="H217" s="66"/>
    </row>
    <row r="218" spans="1:8">
      <c r="A218" s="20">
        <f>A216+1</f>
        <v>157</v>
      </c>
      <c r="B218" s="21" t="s">
        <v>308</v>
      </c>
      <c r="C218" s="22"/>
      <c r="D218" s="20">
        <f>A219</f>
        <v>158</v>
      </c>
      <c r="E218" s="23"/>
      <c r="F218" s="36"/>
      <c r="G218" s="20"/>
      <c r="H218" s="23" t="s">
        <v>309</v>
      </c>
    </row>
    <row r="219" spans="1:8">
      <c r="A219" s="20">
        <f t="shared" ref="A219:A230" si="14">A218+1</f>
        <v>158</v>
      </c>
      <c r="B219" s="21" t="s">
        <v>310</v>
      </c>
      <c r="C219" s="26"/>
      <c r="D219" s="20">
        <f>A220</f>
        <v>159</v>
      </c>
      <c r="E219" s="23"/>
      <c r="F219" s="35"/>
      <c r="G219" s="20">
        <f>A222</f>
        <v>161</v>
      </c>
      <c r="H219" s="23"/>
    </row>
    <row r="220" spans="1:8" ht="39.6">
      <c r="A220" s="20">
        <f t="shared" si="14"/>
        <v>159</v>
      </c>
      <c r="B220" s="21" t="s">
        <v>311</v>
      </c>
      <c r="C220" s="22"/>
      <c r="D220" s="20">
        <f>A221</f>
        <v>160</v>
      </c>
      <c r="E220" s="23"/>
      <c r="F220" s="36"/>
      <c r="G220" s="20"/>
      <c r="H220" s="23" t="s">
        <v>312</v>
      </c>
    </row>
    <row r="221" spans="1:8" ht="39.6">
      <c r="A221" s="20">
        <f t="shared" si="14"/>
        <v>160</v>
      </c>
      <c r="B221" s="21" t="s">
        <v>313</v>
      </c>
      <c r="C221" s="22"/>
      <c r="D221" s="20">
        <f>A222</f>
        <v>161</v>
      </c>
      <c r="E221" s="23"/>
      <c r="F221" s="37">
        <v>10</v>
      </c>
      <c r="G221" s="20">
        <f>A222</f>
        <v>161</v>
      </c>
      <c r="H221" s="23" t="s">
        <v>314</v>
      </c>
    </row>
    <row r="222" spans="1:8" ht="39.6">
      <c r="A222" s="20">
        <f t="shared" si="14"/>
        <v>161</v>
      </c>
      <c r="B222" s="21" t="s">
        <v>315</v>
      </c>
      <c r="C222" s="36"/>
      <c r="D222" s="20"/>
      <c r="E222" s="23" t="s">
        <v>316</v>
      </c>
      <c r="F222" s="35"/>
      <c r="G222" s="20">
        <f>A223</f>
        <v>162</v>
      </c>
      <c r="H222" s="23"/>
    </row>
    <row r="223" spans="1:8" ht="66">
      <c r="A223" s="20">
        <f t="shared" si="14"/>
        <v>162</v>
      </c>
      <c r="B223" s="21" t="s">
        <v>317</v>
      </c>
      <c r="C223" s="22"/>
      <c r="D223" s="20">
        <f>A224</f>
        <v>163</v>
      </c>
      <c r="E223" s="23"/>
      <c r="F223" s="36"/>
      <c r="G223" s="20"/>
      <c r="H223" s="23" t="s">
        <v>318</v>
      </c>
    </row>
    <row r="224" spans="1:8" ht="26.4">
      <c r="A224" s="20">
        <f t="shared" si="14"/>
        <v>163</v>
      </c>
      <c r="B224" s="21" t="s">
        <v>319</v>
      </c>
      <c r="C224" s="22"/>
      <c r="D224" s="20">
        <f>A225</f>
        <v>164</v>
      </c>
      <c r="E224" s="23"/>
      <c r="F224" s="37">
        <v>15</v>
      </c>
      <c r="G224" s="20">
        <f>A225</f>
        <v>164</v>
      </c>
      <c r="H224" s="23" t="s">
        <v>320</v>
      </c>
    </row>
    <row r="225" spans="1:8" ht="26.4">
      <c r="A225" s="20">
        <f t="shared" si="14"/>
        <v>164</v>
      </c>
      <c r="B225" s="21" t="s">
        <v>321</v>
      </c>
      <c r="C225" s="26"/>
      <c r="D225" s="20">
        <f>A226</f>
        <v>165</v>
      </c>
      <c r="E225" s="23" t="s">
        <v>51</v>
      </c>
      <c r="F225" s="37">
        <v>10</v>
      </c>
      <c r="G225" s="20">
        <f>D226</f>
        <v>166</v>
      </c>
      <c r="H225" s="23" t="s">
        <v>249</v>
      </c>
    </row>
    <row r="226" spans="1:8" ht="39.6">
      <c r="A226" s="20">
        <f t="shared" si="14"/>
        <v>165</v>
      </c>
      <c r="B226" s="21" t="s">
        <v>322</v>
      </c>
      <c r="C226" s="22"/>
      <c r="D226" s="20">
        <f>A227</f>
        <v>166</v>
      </c>
      <c r="E226" s="23" t="s">
        <v>51</v>
      </c>
      <c r="F226" s="37">
        <v>3</v>
      </c>
      <c r="G226" s="20">
        <f>A227</f>
        <v>166</v>
      </c>
      <c r="H226" s="23" t="s">
        <v>323</v>
      </c>
    </row>
    <row r="227" spans="1:8" ht="52.8">
      <c r="A227" s="20">
        <f t="shared" si="14"/>
        <v>166</v>
      </c>
      <c r="B227" s="21" t="s">
        <v>324</v>
      </c>
      <c r="C227" s="22"/>
      <c r="D227" s="20">
        <f>A228</f>
        <v>167</v>
      </c>
      <c r="E227" s="23" t="s">
        <v>51</v>
      </c>
      <c r="F227" s="37">
        <v>10</v>
      </c>
      <c r="G227" s="20">
        <f>A228</f>
        <v>167</v>
      </c>
      <c r="H227" s="23" t="s">
        <v>325</v>
      </c>
    </row>
    <row r="228" spans="1:8" ht="26.4">
      <c r="A228" s="20">
        <f t="shared" si="14"/>
        <v>167</v>
      </c>
      <c r="B228" s="41" t="s">
        <v>326</v>
      </c>
      <c r="C228" s="30"/>
      <c r="D228" s="20"/>
      <c r="E228" s="23" t="s">
        <v>327</v>
      </c>
      <c r="F228" s="35" t="s">
        <v>51</v>
      </c>
      <c r="G228" s="20">
        <f>A229</f>
        <v>168</v>
      </c>
      <c r="H228" s="23" t="s">
        <v>51</v>
      </c>
    </row>
    <row r="229" spans="1:8" ht="39.6">
      <c r="A229" s="20">
        <f t="shared" si="14"/>
        <v>168</v>
      </c>
      <c r="B229" s="21" t="s">
        <v>328</v>
      </c>
      <c r="C229" s="22"/>
      <c r="D229" s="20">
        <f>A230</f>
        <v>169</v>
      </c>
      <c r="E229" s="23" t="s">
        <v>51</v>
      </c>
      <c r="F229" s="37">
        <v>20</v>
      </c>
      <c r="G229" s="20">
        <f>A230</f>
        <v>169</v>
      </c>
      <c r="H229" s="23" t="s">
        <v>329</v>
      </c>
    </row>
    <row r="230" spans="1:8" ht="39.6">
      <c r="A230" s="20">
        <f t="shared" si="14"/>
        <v>169</v>
      </c>
      <c r="B230" s="21" t="s">
        <v>330</v>
      </c>
      <c r="C230" s="30"/>
      <c r="D230" s="20">
        <f>A232</f>
        <v>170</v>
      </c>
      <c r="E230" s="23" t="s">
        <v>331</v>
      </c>
      <c r="F230" s="35" t="s">
        <v>51</v>
      </c>
      <c r="G230" s="20"/>
      <c r="H230" s="23"/>
    </row>
    <row r="231" spans="1:8" ht="15.6" customHeight="1">
      <c r="A231" s="66" t="s">
        <v>283</v>
      </c>
      <c r="B231" s="66"/>
      <c r="C231" s="66"/>
      <c r="D231" s="66"/>
      <c r="E231" s="66"/>
      <c r="F231" s="66"/>
      <c r="G231" s="66"/>
      <c r="H231" s="66"/>
    </row>
    <row r="232" spans="1:8" ht="39.6">
      <c r="A232" s="20">
        <f>A230+1</f>
        <v>170</v>
      </c>
      <c r="B232" s="21" t="s">
        <v>332</v>
      </c>
      <c r="C232" s="22"/>
      <c r="D232" s="20">
        <f t="shared" ref="D232:D242" si="15">A233</f>
        <v>171</v>
      </c>
      <c r="E232" s="23" t="s">
        <v>51</v>
      </c>
      <c r="F232" s="37">
        <v>7</v>
      </c>
      <c r="G232" s="20">
        <f>A233</f>
        <v>171</v>
      </c>
      <c r="H232" s="23" t="s">
        <v>333</v>
      </c>
    </row>
    <row r="233" spans="1:8" ht="26.4">
      <c r="A233" s="20">
        <f t="shared" ref="A233:A250" si="16">A232+1</f>
        <v>171</v>
      </c>
      <c r="B233" s="21" t="s">
        <v>334</v>
      </c>
      <c r="C233" s="26"/>
      <c r="D233" s="20">
        <f t="shared" si="15"/>
        <v>172</v>
      </c>
      <c r="E233" s="23" t="s">
        <v>51</v>
      </c>
      <c r="F233" s="36" t="s">
        <v>51</v>
      </c>
      <c r="G233" s="20"/>
      <c r="H233" s="23" t="s">
        <v>335</v>
      </c>
    </row>
    <row r="234" spans="1:8" ht="26.4">
      <c r="A234" s="20">
        <f t="shared" si="16"/>
        <v>172</v>
      </c>
      <c r="B234" s="21" t="s">
        <v>336</v>
      </c>
      <c r="C234" s="26"/>
      <c r="D234" s="20">
        <f t="shared" si="15"/>
        <v>173</v>
      </c>
      <c r="E234" s="23" t="s">
        <v>51</v>
      </c>
      <c r="F234" s="36" t="s">
        <v>51</v>
      </c>
      <c r="G234" s="20"/>
      <c r="H234" s="23" t="s">
        <v>335</v>
      </c>
    </row>
    <row r="235" spans="1:8">
      <c r="A235" s="20">
        <f t="shared" si="16"/>
        <v>173</v>
      </c>
      <c r="B235" s="21" t="s">
        <v>337</v>
      </c>
      <c r="C235" s="26"/>
      <c r="D235" s="20">
        <f t="shared" si="15"/>
        <v>174</v>
      </c>
      <c r="E235" s="23" t="s">
        <v>51</v>
      </c>
      <c r="F235" s="35" t="s">
        <v>51</v>
      </c>
      <c r="G235" s="20">
        <f>A237</f>
        <v>175</v>
      </c>
      <c r="H235" s="23" t="s">
        <v>51</v>
      </c>
    </row>
    <row r="236" spans="1:8" ht="26.4">
      <c r="A236" s="20">
        <f t="shared" si="16"/>
        <v>174</v>
      </c>
      <c r="B236" s="21" t="s">
        <v>338</v>
      </c>
      <c r="C236" s="22"/>
      <c r="D236" s="20">
        <f t="shared" si="15"/>
        <v>175</v>
      </c>
      <c r="E236" s="23" t="s">
        <v>51</v>
      </c>
      <c r="F236" s="37">
        <v>15</v>
      </c>
      <c r="G236" s="20">
        <f>A237</f>
        <v>175</v>
      </c>
      <c r="H236" s="23" t="s">
        <v>339</v>
      </c>
    </row>
    <row r="237" spans="1:8" ht="39.6">
      <c r="A237" s="20">
        <f t="shared" si="16"/>
        <v>175</v>
      </c>
      <c r="B237" s="21" t="s">
        <v>340</v>
      </c>
      <c r="C237" s="22"/>
      <c r="D237" s="20">
        <f t="shared" si="15"/>
        <v>176</v>
      </c>
      <c r="E237" s="23" t="s">
        <v>51</v>
      </c>
      <c r="F237" s="37">
        <v>7</v>
      </c>
      <c r="G237" s="20">
        <f>A239</f>
        <v>177</v>
      </c>
      <c r="H237" s="23" t="s">
        <v>341</v>
      </c>
    </row>
    <row r="238" spans="1:8" ht="26.4">
      <c r="A238" s="20">
        <f t="shared" si="16"/>
        <v>176</v>
      </c>
      <c r="B238" s="21" t="s">
        <v>342</v>
      </c>
      <c r="C238" s="27" t="s">
        <v>343</v>
      </c>
      <c r="D238" s="20">
        <f t="shared" si="15"/>
        <v>177</v>
      </c>
      <c r="E238" s="23" t="s">
        <v>344</v>
      </c>
      <c r="F238" s="35"/>
      <c r="G238" s="20">
        <f>A239</f>
        <v>177</v>
      </c>
      <c r="H238" s="23"/>
    </row>
    <row r="239" spans="1:8" ht="26.4">
      <c r="A239" s="20">
        <f t="shared" si="16"/>
        <v>177</v>
      </c>
      <c r="B239" s="21" t="s">
        <v>345</v>
      </c>
      <c r="C239" s="26"/>
      <c r="D239" s="20">
        <f t="shared" si="15"/>
        <v>178</v>
      </c>
      <c r="E239" s="23" t="s">
        <v>51</v>
      </c>
      <c r="F239" s="37">
        <v>7</v>
      </c>
      <c r="G239" s="20">
        <f>A242</f>
        <v>180</v>
      </c>
      <c r="H239" s="23" t="s">
        <v>346</v>
      </c>
    </row>
    <row r="240" spans="1:8" ht="39.6">
      <c r="A240" s="20">
        <f t="shared" si="16"/>
        <v>178</v>
      </c>
      <c r="B240" s="21" t="s">
        <v>347</v>
      </c>
      <c r="C240" s="26"/>
      <c r="D240" s="20">
        <f t="shared" si="15"/>
        <v>179</v>
      </c>
      <c r="E240" s="23" t="s">
        <v>51</v>
      </c>
      <c r="F240" s="37">
        <v>7</v>
      </c>
      <c r="G240" s="20">
        <f>A241</f>
        <v>179</v>
      </c>
      <c r="H240" s="23" t="s">
        <v>348</v>
      </c>
    </row>
    <row r="241" spans="1:8" ht="26.4">
      <c r="A241" s="20">
        <f t="shared" si="16"/>
        <v>179</v>
      </c>
      <c r="B241" s="21" t="s">
        <v>349</v>
      </c>
      <c r="C241" s="22"/>
      <c r="D241" s="20">
        <f t="shared" si="15"/>
        <v>180</v>
      </c>
      <c r="E241" s="23" t="s">
        <v>51</v>
      </c>
      <c r="F241" s="37">
        <v>3</v>
      </c>
      <c r="G241" s="20">
        <f>A242</f>
        <v>180</v>
      </c>
      <c r="H241" s="23" t="s">
        <v>350</v>
      </c>
    </row>
    <row r="242" spans="1:8" ht="26.4">
      <c r="A242" s="20">
        <f t="shared" si="16"/>
        <v>180</v>
      </c>
      <c r="B242" s="21" t="s">
        <v>351</v>
      </c>
      <c r="C242" s="22"/>
      <c r="D242" s="20">
        <f t="shared" si="15"/>
        <v>181</v>
      </c>
      <c r="E242" s="23"/>
      <c r="F242" s="36" t="s">
        <v>51</v>
      </c>
      <c r="G242" s="20"/>
      <c r="H242" s="23" t="s">
        <v>352</v>
      </c>
    </row>
    <row r="243" spans="1:8" ht="52.8">
      <c r="A243" s="20">
        <f t="shared" si="16"/>
        <v>181</v>
      </c>
      <c r="B243" s="21" t="s">
        <v>353</v>
      </c>
      <c r="C243" s="36" t="s">
        <v>51</v>
      </c>
      <c r="D243" s="20"/>
      <c r="E243" s="23" t="s">
        <v>354</v>
      </c>
      <c r="F243" s="22"/>
      <c r="G243" s="20">
        <f>A244</f>
        <v>182</v>
      </c>
      <c r="H243" s="23"/>
    </row>
    <row r="244" spans="1:8" ht="39.6">
      <c r="A244" s="20">
        <f t="shared" si="16"/>
        <v>182</v>
      </c>
      <c r="B244" s="21" t="s">
        <v>355</v>
      </c>
      <c r="C244" s="36" t="s">
        <v>51</v>
      </c>
      <c r="D244" s="20"/>
      <c r="E244" s="23" t="s">
        <v>356</v>
      </c>
      <c r="F244" s="22"/>
      <c r="G244" s="20">
        <f>A245</f>
        <v>183</v>
      </c>
      <c r="H244" s="23"/>
    </row>
    <row r="245" spans="1:8" ht="26.4">
      <c r="A245" s="20">
        <f t="shared" si="16"/>
        <v>183</v>
      </c>
      <c r="B245" s="21" t="s">
        <v>357</v>
      </c>
      <c r="C245" s="22"/>
      <c r="D245" s="20">
        <f>A246</f>
        <v>184</v>
      </c>
      <c r="E245" s="23"/>
      <c r="F245" s="36" t="s">
        <v>51</v>
      </c>
      <c r="G245" s="20"/>
      <c r="H245" s="23" t="s">
        <v>358</v>
      </c>
    </row>
    <row r="246" spans="1:8" ht="39.6">
      <c r="A246" s="20">
        <f t="shared" si="16"/>
        <v>184</v>
      </c>
      <c r="B246" s="21" t="s">
        <v>359</v>
      </c>
      <c r="C246" s="36" t="s">
        <v>51</v>
      </c>
      <c r="D246" s="20"/>
      <c r="E246" s="23" t="s">
        <v>360</v>
      </c>
      <c r="F246" s="22"/>
      <c r="G246" s="20">
        <f>A247</f>
        <v>185</v>
      </c>
      <c r="H246" s="23"/>
    </row>
    <row r="247" spans="1:8" ht="39.6">
      <c r="A247" s="20">
        <f t="shared" si="16"/>
        <v>185</v>
      </c>
      <c r="B247" s="21" t="s">
        <v>361</v>
      </c>
      <c r="C247" s="22"/>
      <c r="D247" s="20">
        <f>A248</f>
        <v>186</v>
      </c>
      <c r="E247" s="23" t="s">
        <v>51</v>
      </c>
      <c r="F247" s="37">
        <v>7</v>
      </c>
      <c r="G247" s="20">
        <f>A248</f>
        <v>186</v>
      </c>
      <c r="H247" s="23" t="s">
        <v>362</v>
      </c>
    </row>
    <row r="248" spans="1:8" ht="39.6">
      <c r="A248" s="20">
        <f t="shared" si="16"/>
        <v>186</v>
      </c>
      <c r="B248" s="21" t="s">
        <v>363</v>
      </c>
      <c r="C248" s="22"/>
      <c r="D248" s="20">
        <f>A249</f>
        <v>187</v>
      </c>
      <c r="E248" s="23"/>
      <c r="F248" s="36" t="s">
        <v>51</v>
      </c>
      <c r="G248" s="20"/>
      <c r="H248" s="23" t="s">
        <v>364</v>
      </c>
    </row>
    <row r="249" spans="1:8" ht="39.6">
      <c r="A249" s="20">
        <f t="shared" si="16"/>
        <v>187</v>
      </c>
      <c r="B249" s="21" t="s">
        <v>365</v>
      </c>
      <c r="C249" s="26"/>
      <c r="D249" s="20">
        <f>A250</f>
        <v>188</v>
      </c>
      <c r="E249" s="23" t="s">
        <v>51</v>
      </c>
      <c r="F249" s="37">
        <v>7</v>
      </c>
      <c r="G249" s="20">
        <f>A252</f>
        <v>189</v>
      </c>
      <c r="H249" s="23" t="s">
        <v>366</v>
      </c>
    </row>
    <row r="250" spans="1:8" ht="39.6">
      <c r="A250" s="20">
        <f t="shared" si="16"/>
        <v>188</v>
      </c>
      <c r="B250" s="21" t="s">
        <v>367</v>
      </c>
      <c r="C250" s="22"/>
      <c r="D250" s="20">
        <f>A252</f>
        <v>189</v>
      </c>
      <c r="E250" s="23" t="s">
        <v>51</v>
      </c>
      <c r="F250" s="37">
        <v>3</v>
      </c>
      <c r="G250" s="20">
        <f>A252</f>
        <v>189</v>
      </c>
      <c r="H250" s="23" t="s">
        <v>368</v>
      </c>
    </row>
    <row r="251" spans="1:8" ht="15.6" customHeight="1">
      <c r="A251" s="66" t="s">
        <v>369</v>
      </c>
      <c r="B251" s="66"/>
      <c r="C251" s="66"/>
      <c r="D251" s="66"/>
      <c r="E251" s="66"/>
      <c r="F251" s="66"/>
      <c r="G251" s="66"/>
      <c r="H251" s="66"/>
    </row>
    <row r="252" spans="1:8" ht="39.6">
      <c r="A252" s="20">
        <f>A250+1</f>
        <v>189</v>
      </c>
      <c r="B252" s="21" t="s">
        <v>370</v>
      </c>
      <c r="C252" s="30"/>
      <c r="D252" s="20"/>
      <c r="E252" s="23" t="s">
        <v>371</v>
      </c>
      <c r="F252" s="38" t="s">
        <v>51</v>
      </c>
      <c r="G252" s="20">
        <f>A253</f>
        <v>190</v>
      </c>
      <c r="H252" s="23" t="s">
        <v>51</v>
      </c>
    </row>
    <row r="253" spans="1:8" ht="26.4">
      <c r="A253" s="20">
        <f>A252+1</f>
        <v>190</v>
      </c>
      <c r="B253" s="21" t="s">
        <v>372</v>
      </c>
      <c r="C253" s="26"/>
      <c r="D253" s="20">
        <f>A254</f>
        <v>191</v>
      </c>
      <c r="E253" s="23" t="s">
        <v>51</v>
      </c>
      <c r="F253" s="36" t="s">
        <v>51</v>
      </c>
      <c r="G253" s="20"/>
      <c r="H253" s="23" t="s">
        <v>373</v>
      </c>
    </row>
    <row r="254" spans="1:8" ht="39.6">
      <c r="A254" s="20">
        <f>A253+1</f>
        <v>191</v>
      </c>
      <c r="B254" s="21" t="s">
        <v>374</v>
      </c>
      <c r="C254" s="30"/>
      <c r="D254" s="20"/>
      <c r="E254" s="23" t="s">
        <v>371</v>
      </c>
      <c r="F254" s="35" t="s">
        <v>51</v>
      </c>
      <c r="G254" s="20">
        <f>A255</f>
        <v>192</v>
      </c>
      <c r="H254" s="23" t="s">
        <v>51</v>
      </c>
    </row>
    <row r="255" spans="1:8" ht="92.4">
      <c r="A255" s="20">
        <f>A254+1</f>
        <v>192</v>
      </c>
      <c r="B255" s="21" t="s">
        <v>375</v>
      </c>
      <c r="C255" s="26"/>
      <c r="D255" s="20">
        <f>A256</f>
        <v>193</v>
      </c>
      <c r="E255" s="23" t="s">
        <v>51</v>
      </c>
      <c r="F255" s="37">
        <v>15</v>
      </c>
      <c r="G255" s="20">
        <f>A258</f>
        <v>194</v>
      </c>
      <c r="H255" s="23" t="s">
        <v>376</v>
      </c>
    </row>
    <row r="256" spans="1:8" ht="52.8">
      <c r="A256" s="20">
        <f>A255+1</f>
        <v>193</v>
      </c>
      <c r="B256" s="21" t="s">
        <v>377</v>
      </c>
      <c r="C256" s="22"/>
      <c r="D256" s="20">
        <f>A258</f>
        <v>194</v>
      </c>
      <c r="E256" s="23" t="s">
        <v>51</v>
      </c>
      <c r="F256" s="37">
        <v>10</v>
      </c>
      <c r="G256" s="20">
        <f>A258</f>
        <v>194</v>
      </c>
      <c r="H256" s="23" t="s">
        <v>51</v>
      </c>
    </row>
    <row r="257" spans="1:8" ht="13.2">
      <c r="A257" s="66" t="s">
        <v>378</v>
      </c>
      <c r="B257" s="66"/>
      <c r="C257" s="66"/>
      <c r="D257" s="66"/>
      <c r="E257" s="66"/>
      <c r="F257" s="66"/>
      <c r="G257" s="66"/>
      <c r="H257" s="66"/>
    </row>
    <row r="258" spans="1:8" ht="39.6">
      <c r="A258" s="20">
        <f>A256+1</f>
        <v>194</v>
      </c>
      <c r="B258" s="21" t="s">
        <v>379</v>
      </c>
      <c r="C258" s="26"/>
      <c r="D258" s="20">
        <f>A259</f>
        <v>195</v>
      </c>
      <c r="E258" s="23" t="s">
        <v>51</v>
      </c>
      <c r="F258" s="37">
        <v>5</v>
      </c>
      <c r="G258" s="20">
        <f>A262</f>
        <v>197</v>
      </c>
      <c r="H258" s="23" t="s">
        <v>380</v>
      </c>
    </row>
    <row r="259" spans="1:8" ht="39.6">
      <c r="A259" s="20">
        <f>A258+1</f>
        <v>195</v>
      </c>
      <c r="B259" s="21" t="s">
        <v>250</v>
      </c>
      <c r="C259" s="26"/>
      <c r="D259" s="20">
        <f>A260</f>
        <v>196</v>
      </c>
      <c r="E259" s="23" t="s">
        <v>51</v>
      </c>
      <c r="F259" s="36" t="s">
        <v>51</v>
      </c>
      <c r="G259" s="20"/>
      <c r="H259" s="23" t="s">
        <v>381</v>
      </c>
    </row>
    <row r="260" spans="1:8" ht="39.6">
      <c r="A260" s="20">
        <f>A259+1</f>
        <v>196</v>
      </c>
      <c r="B260" s="21" t="s">
        <v>382</v>
      </c>
      <c r="C260" s="30"/>
      <c r="D260" s="20"/>
      <c r="E260" s="23" t="s">
        <v>383</v>
      </c>
      <c r="F260" s="35" t="s">
        <v>51</v>
      </c>
      <c r="G260" s="20">
        <f>A262</f>
        <v>197</v>
      </c>
      <c r="H260" s="23" t="s">
        <v>381</v>
      </c>
    </row>
    <row r="261" spans="1:8" ht="13.2">
      <c r="A261" s="66" t="s">
        <v>384</v>
      </c>
      <c r="B261" s="66"/>
      <c r="C261" s="66"/>
      <c r="D261" s="66"/>
      <c r="E261" s="66"/>
      <c r="F261" s="66"/>
      <c r="G261" s="66"/>
      <c r="H261" s="66"/>
    </row>
    <row r="262" spans="1:8" ht="52.8">
      <c r="A262" s="20">
        <f>A260+1</f>
        <v>197</v>
      </c>
      <c r="B262" s="21" t="s">
        <v>385</v>
      </c>
      <c r="C262" s="26"/>
      <c r="D262" s="20">
        <f>A263</f>
        <v>198</v>
      </c>
      <c r="E262" s="23" t="s">
        <v>51</v>
      </c>
      <c r="F262" s="37">
        <v>3</v>
      </c>
      <c r="G262" s="20">
        <f>A263</f>
        <v>198</v>
      </c>
      <c r="H262" s="23" t="s">
        <v>386</v>
      </c>
    </row>
    <row r="263" spans="1:8" ht="52.8">
      <c r="A263" s="20">
        <f>A262+1</f>
        <v>198</v>
      </c>
      <c r="B263" s="21" t="s">
        <v>387</v>
      </c>
      <c r="C263" s="22"/>
      <c r="D263" s="20">
        <f>A264</f>
        <v>199</v>
      </c>
      <c r="E263" s="23" t="s">
        <v>51</v>
      </c>
      <c r="F263" s="37">
        <v>2</v>
      </c>
      <c r="G263" s="20">
        <f>A264</f>
        <v>199</v>
      </c>
      <c r="H263" s="23" t="s">
        <v>388</v>
      </c>
    </row>
    <row r="264" spans="1:8" ht="39" customHeight="1">
      <c r="A264" s="67">
        <f>A263+1</f>
        <v>199</v>
      </c>
      <c r="B264" s="47" t="s">
        <v>389</v>
      </c>
      <c r="C264" s="26"/>
      <c r="D264" s="67">
        <f>A304</f>
        <v>200</v>
      </c>
      <c r="E264" s="69"/>
      <c r="F264" s="24"/>
      <c r="G264" s="67"/>
      <c r="H264" s="69" t="s">
        <v>390</v>
      </c>
    </row>
    <row r="265" spans="1:8">
      <c r="A265" s="67"/>
      <c r="B265" s="56" t="s">
        <v>391</v>
      </c>
      <c r="C265" s="45"/>
      <c r="D265" s="67"/>
      <c r="E265" s="69"/>
      <c r="F265" s="25"/>
      <c r="G265" s="67"/>
      <c r="H265" s="69"/>
    </row>
    <row r="266" spans="1:8">
      <c r="A266" s="67"/>
      <c r="B266" s="46" t="s">
        <v>392</v>
      </c>
      <c r="C266" s="22"/>
      <c r="D266" s="67"/>
      <c r="E266" s="69"/>
      <c r="F266" s="25"/>
      <c r="G266" s="67"/>
      <c r="H266" s="69"/>
    </row>
    <row r="267" spans="1:8">
      <c r="A267" s="67"/>
      <c r="B267" s="46" t="s">
        <v>393</v>
      </c>
      <c r="C267" s="45"/>
      <c r="D267" s="67"/>
      <c r="E267" s="69"/>
      <c r="F267" s="25"/>
      <c r="G267" s="67"/>
      <c r="H267" s="69"/>
    </row>
    <row r="268" spans="1:8">
      <c r="A268" s="67"/>
      <c r="B268" s="46" t="s">
        <v>394</v>
      </c>
      <c r="C268" s="45"/>
      <c r="D268" s="67"/>
      <c r="E268" s="69"/>
      <c r="F268" s="25"/>
      <c r="G268" s="67"/>
      <c r="H268" s="69"/>
    </row>
    <row r="269" spans="1:8">
      <c r="A269" s="67"/>
      <c r="B269" s="46" t="s">
        <v>395</v>
      </c>
      <c r="C269" s="45"/>
      <c r="D269" s="67"/>
      <c r="E269" s="69"/>
      <c r="F269" s="25"/>
      <c r="G269" s="67"/>
      <c r="H269" s="69"/>
    </row>
    <row r="270" spans="1:8">
      <c r="A270" s="67"/>
      <c r="B270" s="46" t="s">
        <v>396</v>
      </c>
      <c r="C270" s="45"/>
      <c r="D270" s="67"/>
      <c r="E270" s="69"/>
      <c r="F270" s="25"/>
      <c r="G270" s="67"/>
      <c r="H270" s="69"/>
    </row>
    <row r="271" spans="1:8">
      <c r="A271" s="67"/>
      <c r="B271" s="46" t="s">
        <v>397</v>
      </c>
      <c r="C271" s="45"/>
      <c r="D271" s="67"/>
      <c r="E271" s="69"/>
      <c r="F271" s="25"/>
      <c r="G271" s="67"/>
      <c r="H271" s="69"/>
    </row>
    <row r="272" spans="1:8">
      <c r="A272" s="67"/>
      <c r="B272" s="46" t="s">
        <v>398</v>
      </c>
      <c r="C272" s="45"/>
      <c r="D272" s="67"/>
      <c r="E272" s="69"/>
      <c r="F272" s="25"/>
      <c r="G272" s="67"/>
      <c r="H272" s="69"/>
    </row>
    <row r="273" spans="1:8">
      <c r="A273" s="67"/>
      <c r="B273" s="46" t="s">
        <v>399</v>
      </c>
      <c r="C273" s="45"/>
      <c r="D273" s="67"/>
      <c r="E273" s="69"/>
      <c r="F273" s="25"/>
      <c r="G273" s="67"/>
      <c r="H273" s="69"/>
    </row>
    <row r="274" spans="1:8">
      <c r="A274" s="67"/>
      <c r="B274" s="46" t="s">
        <v>400</v>
      </c>
      <c r="C274" s="45"/>
      <c r="D274" s="67"/>
      <c r="E274" s="69"/>
      <c r="F274" s="25"/>
      <c r="G274" s="67"/>
      <c r="H274" s="69"/>
    </row>
    <row r="275" spans="1:8">
      <c r="A275" s="67"/>
      <c r="B275" s="46" t="s">
        <v>401</v>
      </c>
      <c r="C275" s="45"/>
      <c r="D275" s="67"/>
      <c r="E275" s="69"/>
      <c r="F275" s="25"/>
      <c r="G275" s="67"/>
      <c r="H275" s="69"/>
    </row>
    <row r="276" spans="1:8">
      <c r="A276" s="67"/>
      <c r="B276" s="46" t="s">
        <v>402</v>
      </c>
      <c r="C276" s="45"/>
      <c r="D276" s="67"/>
      <c r="E276" s="69"/>
      <c r="F276" s="25"/>
      <c r="G276" s="67"/>
      <c r="H276" s="69"/>
    </row>
    <row r="277" spans="1:8">
      <c r="A277" s="67"/>
      <c r="B277" s="46" t="s">
        <v>403</v>
      </c>
      <c r="C277" s="45"/>
      <c r="D277" s="67"/>
      <c r="E277" s="69"/>
      <c r="F277" s="25"/>
      <c r="G277" s="67"/>
      <c r="H277" s="69"/>
    </row>
    <row r="278" spans="1:8">
      <c r="A278" s="67"/>
      <c r="B278" s="46" t="s">
        <v>404</v>
      </c>
      <c r="C278" s="45"/>
      <c r="D278" s="67"/>
      <c r="E278" s="69"/>
      <c r="F278" s="25"/>
      <c r="G278" s="67"/>
      <c r="H278" s="69"/>
    </row>
    <row r="279" spans="1:8">
      <c r="A279" s="67"/>
      <c r="B279" s="46" t="s">
        <v>171</v>
      </c>
      <c r="C279" s="45"/>
      <c r="D279" s="67"/>
      <c r="E279" s="69"/>
      <c r="F279" s="25"/>
      <c r="G279" s="67"/>
      <c r="H279" s="69"/>
    </row>
    <row r="280" spans="1:8">
      <c r="A280" s="67"/>
      <c r="B280" s="46" t="s">
        <v>172</v>
      </c>
      <c r="C280" s="45"/>
      <c r="D280" s="67"/>
      <c r="E280" s="69"/>
      <c r="F280" s="25"/>
      <c r="G280" s="67"/>
      <c r="H280" s="69"/>
    </row>
    <row r="281" spans="1:8">
      <c r="A281" s="67"/>
      <c r="B281" s="46" t="s">
        <v>170</v>
      </c>
      <c r="C281" s="45"/>
      <c r="D281" s="67"/>
      <c r="E281" s="69"/>
      <c r="F281" s="25"/>
      <c r="G281" s="67"/>
      <c r="H281" s="69"/>
    </row>
    <row r="282" spans="1:8">
      <c r="A282" s="67"/>
      <c r="B282" s="46" t="s">
        <v>405</v>
      </c>
      <c r="C282" s="45"/>
      <c r="D282" s="67"/>
      <c r="E282" s="69"/>
      <c r="F282" s="25"/>
      <c r="G282" s="67"/>
      <c r="H282" s="69"/>
    </row>
    <row r="283" spans="1:8">
      <c r="A283" s="67"/>
      <c r="B283" s="46" t="s">
        <v>406</v>
      </c>
      <c r="C283" s="45"/>
      <c r="D283" s="67"/>
      <c r="E283" s="69"/>
      <c r="F283" s="25"/>
      <c r="G283" s="67"/>
      <c r="H283" s="69"/>
    </row>
    <row r="284" spans="1:8">
      <c r="A284" s="67"/>
      <c r="B284" s="46" t="s">
        <v>407</v>
      </c>
      <c r="C284" s="45"/>
      <c r="D284" s="67"/>
      <c r="E284" s="69"/>
      <c r="F284" s="25"/>
      <c r="G284" s="67"/>
      <c r="H284" s="69"/>
    </row>
    <row r="285" spans="1:8">
      <c r="A285" s="67"/>
      <c r="B285" s="46" t="s">
        <v>408</v>
      </c>
      <c r="C285" s="45"/>
      <c r="D285" s="67"/>
      <c r="E285" s="69"/>
      <c r="F285" s="25"/>
      <c r="G285" s="67"/>
      <c r="H285" s="69"/>
    </row>
    <row r="286" spans="1:8">
      <c r="A286" s="67"/>
      <c r="B286" s="46" t="s">
        <v>409</v>
      </c>
      <c r="C286" s="45"/>
      <c r="D286" s="67"/>
      <c r="E286" s="69"/>
      <c r="F286" s="25"/>
      <c r="G286" s="67"/>
      <c r="H286" s="69"/>
    </row>
    <row r="287" spans="1:8">
      <c r="A287" s="67"/>
      <c r="B287" s="46" t="s">
        <v>410</v>
      </c>
      <c r="C287" s="45"/>
      <c r="D287" s="67"/>
      <c r="E287" s="69"/>
      <c r="F287" s="25"/>
      <c r="G287" s="67"/>
      <c r="H287" s="69"/>
    </row>
    <row r="288" spans="1:8">
      <c r="A288" s="67"/>
      <c r="B288" s="46" t="s">
        <v>411</v>
      </c>
      <c r="C288" s="45"/>
      <c r="D288" s="67"/>
      <c r="E288" s="69"/>
      <c r="F288" s="25"/>
      <c r="G288" s="67"/>
      <c r="H288" s="69"/>
    </row>
    <row r="289" spans="1:8">
      <c r="A289" s="67"/>
      <c r="B289" s="46" t="s">
        <v>412</v>
      </c>
      <c r="C289" s="45"/>
      <c r="D289" s="67"/>
      <c r="E289" s="69"/>
      <c r="F289" s="25"/>
      <c r="G289" s="67"/>
      <c r="H289" s="69"/>
    </row>
    <row r="290" spans="1:8">
      <c r="A290" s="67"/>
      <c r="B290" s="46" t="s">
        <v>413</v>
      </c>
      <c r="C290" s="45"/>
      <c r="D290" s="67"/>
      <c r="E290" s="69"/>
      <c r="F290" s="25"/>
      <c r="G290" s="67"/>
      <c r="H290" s="69"/>
    </row>
    <row r="291" spans="1:8">
      <c r="A291" s="67"/>
      <c r="B291" s="46" t="s">
        <v>414</v>
      </c>
      <c r="C291" s="45"/>
      <c r="D291" s="67"/>
      <c r="E291" s="69"/>
      <c r="F291" s="25"/>
      <c r="G291" s="67"/>
      <c r="H291" s="69"/>
    </row>
    <row r="292" spans="1:8">
      <c r="A292" s="67"/>
      <c r="B292" s="46" t="s">
        <v>173</v>
      </c>
      <c r="C292" s="45"/>
      <c r="D292" s="67"/>
      <c r="E292" s="69"/>
      <c r="F292" s="25"/>
      <c r="G292" s="67"/>
      <c r="H292" s="69"/>
    </row>
    <row r="293" spans="1:8">
      <c r="A293" s="67"/>
      <c r="B293" s="46" t="s">
        <v>178</v>
      </c>
      <c r="C293" s="45"/>
      <c r="D293" s="67"/>
      <c r="E293" s="69"/>
      <c r="F293" s="25"/>
      <c r="G293" s="67"/>
      <c r="H293" s="69"/>
    </row>
    <row r="294" spans="1:8">
      <c r="A294" s="67"/>
      <c r="B294" s="46" t="s">
        <v>179</v>
      </c>
      <c r="C294" s="45"/>
      <c r="D294" s="67"/>
      <c r="E294" s="69"/>
      <c r="F294" s="25"/>
      <c r="G294" s="67"/>
      <c r="H294" s="69"/>
    </row>
    <row r="295" spans="1:8">
      <c r="A295" s="67"/>
      <c r="B295" s="46" t="s">
        <v>175</v>
      </c>
      <c r="C295" s="45"/>
      <c r="D295" s="67"/>
      <c r="E295" s="69"/>
      <c r="F295" s="25"/>
      <c r="G295" s="67"/>
      <c r="H295" s="69"/>
    </row>
    <row r="296" spans="1:8">
      <c r="A296" s="67"/>
      <c r="B296" s="46" t="s">
        <v>176</v>
      </c>
      <c r="C296" s="45"/>
      <c r="D296" s="67"/>
      <c r="E296" s="69"/>
      <c r="F296" s="25"/>
      <c r="G296" s="67"/>
      <c r="H296" s="69"/>
    </row>
    <row r="297" spans="1:8">
      <c r="A297" s="67"/>
      <c r="B297" s="46" t="s">
        <v>177</v>
      </c>
      <c r="C297" s="45"/>
      <c r="D297" s="67"/>
      <c r="E297" s="69"/>
      <c r="F297" s="25"/>
      <c r="G297" s="67"/>
      <c r="H297" s="69"/>
    </row>
    <row r="298" spans="1:8">
      <c r="A298" s="67"/>
      <c r="B298" s="46" t="s">
        <v>174</v>
      </c>
      <c r="C298" s="45"/>
      <c r="D298" s="67"/>
      <c r="E298" s="69"/>
      <c r="F298" s="25"/>
      <c r="G298" s="67"/>
      <c r="H298" s="69"/>
    </row>
    <row r="299" spans="1:8">
      <c r="A299" s="67"/>
      <c r="B299" s="46" t="s">
        <v>181</v>
      </c>
      <c r="C299" s="45"/>
      <c r="D299" s="67"/>
      <c r="E299" s="69"/>
      <c r="F299" s="25"/>
      <c r="G299" s="67"/>
      <c r="H299" s="69"/>
    </row>
    <row r="300" spans="1:8">
      <c r="A300" s="67"/>
      <c r="B300" s="46" t="s">
        <v>182</v>
      </c>
      <c r="C300" s="45"/>
      <c r="D300" s="67"/>
      <c r="E300" s="69"/>
      <c r="F300" s="25"/>
      <c r="G300" s="67"/>
      <c r="H300" s="69"/>
    </row>
    <row r="301" spans="1:8">
      <c r="A301" s="67"/>
      <c r="B301" s="46" t="s">
        <v>415</v>
      </c>
      <c r="C301" s="45"/>
      <c r="D301" s="67"/>
      <c r="E301" s="69"/>
      <c r="F301" s="25"/>
      <c r="G301" s="67"/>
      <c r="H301" s="69"/>
    </row>
    <row r="302" spans="1:8">
      <c r="A302" s="67"/>
      <c r="B302" s="46" t="s">
        <v>180</v>
      </c>
      <c r="C302" s="45"/>
      <c r="D302" s="67"/>
      <c r="E302" s="69"/>
      <c r="F302" s="25"/>
      <c r="G302" s="67"/>
      <c r="H302" s="69"/>
    </row>
    <row r="303" spans="1:8">
      <c r="A303" s="67"/>
      <c r="B303" s="48" t="s">
        <v>416</v>
      </c>
      <c r="C303" s="22"/>
      <c r="D303" s="67"/>
      <c r="E303" s="69"/>
      <c r="F303" s="25"/>
      <c r="G303" s="67"/>
      <c r="H303" s="69"/>
    </row>
    <row r="304" spans="1:8">
      <c r="A304" s="20">
        <f>A264+1</f>
        <v>200</v>
      </c>
      <c r="B304" s="21" t="s">
        <v>417</v>
      </c>
      <c r="C304" s="26"/>
      <c r="D304" s="20">
        <f t="shared" ref="D304:D310" si="17">A305</f>
        <v>201</v>
      </c>
      <c r="E304" s="23"/>
      <c r="F304" s="31"/>
      <c r="G304" s="20">
        <f>A307</f>
        <v>203</v>
      </c>
      <c r="H304" s="23" t="s">
        <v>51</v>
      </c>
    </row>
    <row r="305" spans="1:8" ht="52.8">
      <c r="A305" s="20">
        <f t="shared" ref="A305:A320" si="18">A304+1</f>
        <v>201</v>
      </c>
      <c r="B305" s="21" t="s">
        <v>418</v>
      </c>
      <c r="C305" s="26"/>
      <c r="D305" s="20">
        <f t="shared" si="17"/>
        <v>202</v>
      </c>
      <c r="E305" s="23"/>
      <c r="F305" s="25"/>
      <c r="G305" s="20"/>
      <c r="H305" s="23" t="s">
        <v>419</v>
      </c>
    </row>
    <row r="306" spans="1:8" ht="39.6">
      <c r="A306" s="20">
        <f t="shared" si="18"/>
        <v>202</v>
      </c>
      <c r="B306" s="21" t="s">
        <v>420</v>
      </c>
      <c r="C306" s="22"/>
      <c r="D306" s="20">
        <f t="shared" si="17"/>
        <v>203</v>
      </c>
      <c r="E306" s="23"/>
      <c r="F306" s="32">
        <v>5</v>
      </c>
      <c r="G306" s="20">
        <f>A307</f>
        <v>203</v>
      </c>
      <c r="H306" s="23" t="s">
        <v>421</v>
      </c>
    </row>
    <row r="307" spans="1:8">
      <c r="A307" s="20">
        <f t="shared" si="18"/>
        <v>203</v>
      </c>
      <c r="B307" s="21" t="s">
        <v>422</v>
      </c>
      <c r="C307" s="26"/>
      <c r="D307" s="20">
        <f t="shared" si="17"/>
        <v>204</v>
      </c>
      <c r="E307" s="23"/>
      <c r="F307" s="32">
        <v>15</v>
      </c>
      <c r="G307" s="20">
        <f>A311</f>
        <v>207</v>
      </c>
      <c r="H307" s="23" t="s">
        <v>423</v>
      </c>
    </row>
    <row r="308" spans="1:8" ht="26.4">
      <c r="A308" s="20">
        <f t="shared" si="18"/>
        <v>204</v>
      </c>
      <c r="B308" s="21" t="s">
        <v>424</v>
      </c>
      <c r="C308" s="26"/>
      <c r="D308" s="20">
        <f t="shared" si="17"/>
        <v>205</v>
      </c>
      <c r="E308" s="23"/>
      <c r="F308" s="32">
        <v>3</v>
      </c>
      <c r="G308" s="20">
        <f>A311</f>
        <v>207</v>
      </c>
      <c r="H308" s="23" t="s">
        <v>425</v>
      </c>
    </row>
    <row r="309" spans="1:8" ht="26.4">
      <c r="A309" s="20">
        <f t="shared" si="18"/>
        <v>205</v>
      </c>
      <c r="B309" s="21" t="s">
        <v>426</v>
      </c>
      <c r="C309" s="26"/>
      <c r="D309" s="20">
        <f t="shared" si="17"/>
        <v>206</v>
      </c>
      <c r="E309" s="23"/>
      <c r="F309" s="32">
        <v>7</v>
      </c>
      <c r="G309" s="20">
        <f>A310</f>
        <v>206</v>
      </c>
      <c r="H309" s="23" t="s">
        <v>427</v>
      </c>
    </row>
    <row r="310" spans="1:8" ht="39.6">
      <c r="A310" s="20">
        <f t="shared" si="18"/>
        <v>206</v>
      </c>
      <c r="B310" s="21" t="s">
        <v>428</v>
      </c>
      <c r="C310" s="30"/>
      <c r="D310" s="20">
        <f t="shared" si="17"/>
        <v>207</v>
      </c>
      <c r="E310" s="23" t="s">
        <v>429</v>
      </c>
      <c r="F310" s="31"/>
      <c r="G310" s="20">
        <f>A311</f>
        <v>207</v>
      </c>
      <c r="H310" s="23" t="s">
        <v>51</v>
      </c>
    </row>
    <row r="311" spans="1:8" ht="52.8">
      <c r="A311" s="20">
        <f t="shared" si="18"/>
        <v>207</v>
      </c>
      <c r="B311" s="21" t="s">
        <v>430</v>
      </c>
      <c r="C311" s="42"/>
      <c r="D311" s="20">
        <f t="shared" ref="D311:D319" si="19">A312</f>
        <v>208</v>
      </c>
      <c r="E311" s="43"/>
      <c r="F311" s="32">
        <v>10</v>
      </c>
      <c r="G311" s="20">
        <f>A312</f>
        <v>208</v>
      </c>
      <c r="H311" s="23" t="s">
        <v>431</v>
      </c>
    </row>
    <row r="312" spans="1:8" ht="66">
      <c r="A312" s="20">
        <f t="shared" si="18"/>
        <v>208</v>
      </c>
      <c r="B312" s="21" t="s">
        <v>432</v>
      </c>
      <c r="C312" s="26"/>
      <c r="D312" s="20">
        <f t="shared" si="19"/>
        <v>209</v>
      </c>
      <c r="E312" s="23"/>
      <c r="F312" s="32">
        <v>32</v>
      </c>
      <c r="G312" s="20">
        <f>A314</f>
        <v>210</v>
      </c>
      <c r="H312" s="23" t="s">
        <v>433</v>
      </c>
    </row>
    <row r="313" spans="1:8" ht="26.4">
      <c r="A313" s="20">
        <f t="shared" si="18"/>
        <v>209</v>
      </c>
      <c r="B313" s="21" t="s">
        <v>434</v>
      </c>
      <c r="C313" s="22"/>
      <c r="D313" s="20">
        <f t="shared" si="19"/>
        <v>210</v>
      </c>
      <c r="E313" s="23"/>
      <c r="F313" s="32">
        <v>10</v>
      </c>
      <c r="G313" s="20">
        <f>A314</f>
        <v>210</v>
      </c>
      <c r="H313" s="23" t="s">
        <v>435</v>
      </c>
    </row>
    <row r="314" spans="1:8" ht="39.6">
      <c r="A314" s="20">
        <f t="shared" si="18"/>
        <v>210</v>
      </c>
      <c r="B314" s="21" t="s">
        <v>436</v>
      </c>
      <c r="C314" s="22"/>
      <c r="D314" s="20">
        <f t="shared" si="19"/>
        <v>211</v>
      </c>
      <c r="E314" s="23"/>
      <c r="F314" s="32">
        <v>40</v>
      </c>
      <c r="G314" s="20">
        <f>A322</f>
        <v>217</v>
      </c>
      <c r="H314" s="23" t="s">
        <v>437</v>
      </c>
    </row>
    <row r="315" spans="1:8" ht="52.8">
      <c r="A315" s="20">
        <f t="shared" si="18"/>
        <v>211</v>
      </c>
      <c r="B315" s="21" t="s">
        <v>438</v>
      </c>
      <c r="C315" s="22"/>
      <c r="D315" s="20">
        <f t="shared" si="19"/>
        <v>212</v>
      </c>
      <c r="E315" s="23"/>
      <c r="F315" s="32">
        <v>3</v>
      </c>
      <c r="G315" s="20">
        <f>A317</f>
        <v>213</v>
      </c>
      <c r="H315" s="23" t="s">
        <v>439</v>
      </c>
    </row>
    <row r="316" spans="1:8" ht="39.6">
      <c r="A316" s="20">
        <f t="shared" si="18"/>
        <v>212</v>
      </c>
      <c r="B316" s="21" t="s">
        <v>440</v>
      </c>
      <c r="C316" s="22"/>
      <c r="D316" s="20">
        <f t="shared" si="19"/>
        <v>213</v>
      </c>
      <c r="E316" s="23"/>
      <c r="F316" s="32">
        <v>35</v>
      </c>
      <c r="G316" s="20">
        <f>A322</f>
        <v>217</v>
      </c>
      <c r="H316" s="23" t="s">
        <v>441</v>
      </c>
    </row>
    <row r="317" spans="1:8" ht="52.8">
      <c r="A317" s="20">
        <f t="shared" si="18"/>
        <v>213</v>
      </c>
      <c r="B317" s="21" t="s">
        <v>442</v>
      </c>
      <c r="C317" s="26"/>
      <c r="D317" s="20">
        <f t="shared" si="19"/>
        <v>214</v>
      </c>
      <c r="E317" s="23"/>
      <c r="F317" s="32">
        <v>10</v>
      </c>
      <c r="G317" s="20">
        <f>A319</f>
        <v>215</v>
      </c>
      <c r="H317" s="23" t="s">
        <v>443</v>
      </c>
    </row>
    <row r="318" spans="1:8" ht="39.6">
      <c r="A318" s="20">
        <f t="shared" si="18"/>
        <v>214</v>
      </c>
      <c r="B318" s="21" t="s">
        <v>444</v>
      </c>
      <c r="C318" s="22"/>
      <c r="D318" s="20">
        <f t="shared" si="19"/>
        <v>215</v>
      </c>
      <c r="E318" s="23"/>
      <c r="F318" s="32">
        <v>3</v>
      </c>
      <c r="G318" s="20">
        <f>A319</f>
        <v>215</v>
      </c>
      <c r="H318" s="23" t="s">
        <v>445</v>
      </c>
    </row>
    <row r="319" spans="1:8" ht="39.6">
      <c r="A319" s="20">
        <f t="shared" si="18"/>
        <v>215</v>
      </c>
      <c r="B319" s="21" t="s">
        <v>446</v>
      </c>
      <c r="C319" s="22"/>
      <c r="D319" s="20">
        <f t="shared" si="19"/>
        <v>216</v>
      </c>
      <c r="E319" s="23"/>
      <c r="F319" s="32">
        <v>18</v>
      </c>
      <c r="G319" s="20">
        <f>A320</f>
        <v>216</v>
      </c>
      <c r="H319" s="23" t="s">
        <v>447</v>
      </c>
    </row>
    <row r="320" spans="1:8" ht="39.6">
      <c r="A320" s="20">
        <f t="shared" si="18"/>
        <v>216</v>
      </c>
      <c r="B320" s="21" t="s">
        <v>448</v>
      </c>
      <c r="C320" s="22"/>
      <c r="D320" s="20">
        <f>A322</f>
        <v>217</v>
      </c>
      <c r="E320" s="23"/>
      <c r="F320" s="32">
        <v>10</v>
      </c>
      <c r="G320" s="20">
        <f>A322</f>
        <v>217</v>
      </c>
      <c r="H320" s="23" t="s">
        <v>449</v>
      </c>
    </row>
    <row r="321" spans="1:9" ht="13.2">
      <c r="A321" s="66" t="s">
        <v>450</v>
      </c>
      <c r="B321" s="66"/>
      <c r="C321" s="66"/>
      <c r="D321" s="66"/>
      <c r="E321" s="66"/>
      <c r="F321" s="66"/>
      <c r="G321" s="66"/>
      <c r="H321" s="66"/>
    </row>
    <row r="322" spans="1:9" ht="52.8">
      <c r="A322" s="20">
        <f>A320+1</f>
        <v>217</v>
      </c>
      <c r="B322" s="21" t="s">
        <v>451</v>
      </c>
      <c r="C322" s="22"/>
      <c r="D322" s="20">
        <f>A323</f>
        <v>218</v>
      </c>
      <c r="E322" s="23"/>
      <c r="F322" s="32">
        <v>30</v>
      </c>
      <c r="G322" s="20">
        <f>A323</f>
        <v>218</v>
      </c>
      <c r="H322" s="23" t="s">
        <v>452</v>
      </c>
      <c r="I322" s="9"/>
    </row>
    <row r="323" spans="1:9" ht="26.4">
      <c r="A323" s="20">
        <f>A322+1</f>
        <v>218</v>
      </c>
      <c r="B323" s="29" t="s">
        <v>453</v>
      </c>
      <c r="C323" s="32">
        <v>7</v>
      </c>
      <c r="D323" s="20">
        <f>A324</f>
        <v>219</v>
      </c>
      <c r="E323" s="23" t="s">
        <v>454</v>
      </c>
      <c r="F323" s="31"/>
      <c r="G323" s="20">
        <f>A324</f>
        <v>219</v>
      </c>
      <c r="H323" s="23"/>
    </row>
    <row r="324" spans="1:9" s="5" customFormat="1" ht="26.4">
      <c r="A324" s="20">
        <f>A323+1</f>
        <v>219</v>
      </c>
      <c r="B324" s="29" t="s">
        <v>455</v>
      </c>
      <c r="C324" s="32">
        <v>7</v>
      </c>
      <c r="D324" s="20">
        <f>A325</f>
        <v>220</v>
      </c>
      <c r="E324" s="23" t="s">
        <v>454</v>
      </c>
      <c r="F324" s="22"/>
      <c r="G324" s="20">
        <f>A325</f>
        <v>220</v>
      </c>
      <c r="H324" s="40" t="s">
        <v>51</v>
      </c>
    </row>
    <row r="325" spans="1:9" s="5" customFormat="1" ht="26.4">
      <c r="A325" s="20">
        <f>A324+1</f>
        <v>220</v>
      </c>
      <c r="B325" s="29" t="s">
        <v>241</v>
      </c>
      <c r="C325" s="30"/>
      <c r="D325" s="20"/>
      <c r="E325" s="23" t="s">
        <v>242</v>
      </c>
      <c r="F325" s="24"/>
      <c r="G325" s="20">
        <f>A326</f>
        <v>221</v>
      </c>
      <c r="H325" s="40"/>
    </row>
    <row r="326" spans="1:9" s="5" customFormat="1" ht="26.4">
      <c r="A326" s="20">
        <f>A325+1</f>
        <v>221</v>
      </c>
      <c r="B326" s="29" t="s">
        <v>456</v>
      </c>
      <c r="C326" s="32">
        <v>7</v>
      </c>
      <c r="D326" s="20">
        <f>A327</f>
        <v>222</v>
      </c>
      <c r="E326" s="23" t="s">
        <v>457</v>
      </c>
      <c r="F326" s="22"/>
      <c r="G326" s="20">
        <f>A327</f>
        <v>222</v>
      </c>
      <c r="H326" s="40"/>
    </row>
    <row r="327" spans="1:9" ht="52.8">
      <c r="A327" s="20">
        <f>A326+1</f>
        <v>222</v>
      </c>
      <c r="B327" s="21" t="s">
        <v>458</v>
      </c>
      <c r="C327" s="22"/>
      <c r="D327" s="20">
        <f>A329</f>
        <v>223</v>
      </c>
      <c r="E327" s="40"/>
      <c r="F327" s="32">
        <v>15</v>
      </c>
      <c r="G327" s="20">
        <f>A329</f>
        <v>223</v>
      </c>
      <c r="H327" s="40" t="s">
        <v>459</v>
      </c>
    </row>
    <row r="328" spans="1:9" ht="13.2">
      <c r="A328" s="66" t="s">
        <v>460</v>
      </c>
      <c r="B328" s="66"/>
      <c r="C328" s="66"/>
      <c r="D328" s="66"/>
      <c r="E328" s="66"/>
      <c r="F328" s="66"/>
      <c r="G328" s="66"/>
      <c r="H328" s="66"/>
    </row>
    <row r="329" spans="1:9" ht="26.4">
      <c r="A329" s="20">
        <f>A327+1</f>
        <v>223</v>
      </c>
      <c r="B329" s="21" t="s">
        <v>461</v>
      </c>
      <c r="C329" s="22"/>
      <c r="D329" s="44" t="s">
        <v>251</v>
      </c>
      <c r="E329" s="23"/>
      <c r="F329" s="24"/>
      <c r="G329" s="20">
        <f>A330</f>
        <v>224</v>
      </c>
      <c r="H329" s="23"/>
    </row>
    <row r="330" spans="1:9" ht="39.6">
      <c r="A330" s="20">
        <f>A329+1</f>
        <v>224</v>
      </c>
      <c r="B330" s="21" t="s">
        <v>462</v>
      </c>
      <c r="C330" s="26"/>
      <c r="D330" s="20">
        <f>A331</f>
        <v>225</v>
      </c>
      <c r="E330" s="23"/>
      <c r="F330" s="30"/>
      <c r="G330" s="20"/>
      <c r="H330" s="23" t="s">
        <v>463</v>
      </c>
    </row>
    <row r="331" spans="1:9" ht="66">
      <c r="A331" s="20">
        <f>A330+1</f>
        <v>225</v>
      </c>
      <c r="B331" s="21" t="s">
        <v>464</v>
      </c>
      <c r="C331" s="22"/>
      <c r="D331" s="44" t="s">
        <v>251</v>
      </c>
      <c r="E331" s="23"/>
      <c r="F331" s="30"/>
      <c r="G331" s="20"/>
      <c r="H331" s="23" t="s">
        <v>465</v>
      </c>
    </row>
    <row r="332" spans="1:9">
      <c r="E332" s="7"/>
      <c r="H332" s="7"/>
    </row>
    <row r="333" spans="1:9">
      <c r="E333" s="7"/>
      <c r="H333" s="7"/>
    </row>
    <row r="334" spans="1:9">
      <c r="E334" s="7"/>
      <c r="H334" s="7"/>
    </row>
    <row r="335" spans="1:9">
      <c r="E335" s="7"/>
      <c r="H335" s="7"/>
    </row>
    <row r="336" spans="1:9">
      <c r="E336" s="7"/>
      <c r="H336" s="7"/>
    </row>
    <row r="337" spans="5:8">
      <c r="E337" s="7"/>
      <c r="H337" s="7"/>
    </row>
    <row r="338" spans="5:8">
      <c r="E338" s="7"/>
      <c r="H338" s="7"/>
    </row>
    <row r="339" spans="5:8">
      <c r="E339" s="7"/>
      <c r="H339" s="7"/>
    </row>
    <row r="340" spans="5:8">
      <c r="E340" s="7"/>
      <c r="H340" s="7"/>
    </row>
    <row r="341" spans="5:8">
      <c r="E341" s="7"/>
      <c r="H341" s="7"/>
    </row>
    <row r="342" spans="5:8">
      <c r="E342" s="7"/>
      <c r="H342" s="7"/>
    </row>
    <row r="343" spans="5:8">
      <c r="E343" s="7"/>
      <c r="H343" s="7"/>
    </row>
    <row r="344" spans="5:8">
      <c r="E344" s="7"/>
      <c r="H344" s="7"/>
    </row>
    <row r="345" spans="5:8">
      <c r="E345" s="7"/>
      <c r="H345" s="7"/>
    </row>
    <row r="346" spans="5:8">
      <c r="E346" s="7"/>
      <c r="H346" s="7"/>
    </row>
    <row r="347" spans="5:8">
      <c r="E347" s="7"/>
      <c r="H347" s="7"/>
    </row>
    <row r="348" spans="5:8">
      <c r="E348" s="7"/>
      <c r="H348" s="7"/>
    </row>
    <row r="349" spans="5:8">
      <c r="E349" s="7"/>
      <c r="H349" s="7"/>
    </row>
    <row r="350" spans="5:8">
      <c r="E350" s="7"/>
      <c r="H350" s="7"/>
    </row>
    <row r="351" spans="5:8">
      <c r="E351" s="7"/>
      <c r="H351" s="7"/>
    </row>
    <row r="352" spans="5:8">
      <c r="E352" s="7"/>
      <c r="H352" s="7"/>
    </row>
    <row r="353" spans="5:8">
      <c r="E353" s="7"/>
      <c r="H353" s="7"/>
    </row>
    <row r="354" spans="5:8">
      <c r="E354" s="7"/>
      <c r="H354" s="7"/>
    </row>
    <row r="355" spans="5:8">
      <c r="E355" s="7"/>
      <c r="H355" s="7"/>
    </row>
    <row r="356" spans="5:8">
      <c r="E356" s="7"/>
      <c r="H356" s="7"/>
    </row>
    <row r="357" spans="5:8">
      <c r="E357" s="7"/>
      <c r="H357" s="7"/>
    </row>
    <row r="358" spans="5:8">
      <c r="E358" s="7"/>
      <c r="H358" s="7"/>
    </row>
    <row r="359" spans="5:8">
      <c r="E359" s="7"/>
      <c r="H359" s="7"/>
    </row>
    <row r="360" spans="5:8">
      <c r="E360" s="7"/>
      <c r="H360" s="7"/>
    </row>
    <row r="361" spans="5:8">
      <c r="E361" s="7"/>
      <c r="H361" s="7"/>
    </row>
    <row r="362" spans="5:8">
      <c r="E362" s="7"/>
      <c r="H362" s="7"/>
    </row>
    <row r="363" spans="5:8">
      <c r="E363" s="7"/>
      <c r="H363" s="7"/>
    </row>
    <row r="364" spans="5:8">
      <c r="E364" s="7"/>
      <c r="H364" s="7"/>
    </row>
    <row r="365" spans="5:8">
      <c r="E365" s="7"/>
      <c r="H365" s="7"/>
    </row>
    <row r="366" spans="5:8">
      <c r="E366" s="7"/>
      <c r="H366" s="7"/>
    </row>
    <row r="367" spans="5:8">
      <c r="E367" s="7"/>
      <c r="H367" s="7"/>
    </row>
    <row r="368" spans="5:8">
      <c r="E368" s="7"/>
      <c r="H368" s="7"/>
    </row>
    <row r="369" spans="5:8">
      <c r="E369" s="7"/>
      <c r="H369" s="7"/>
    </row>
    <row r="370" spans="5:8">
      <c r="E370" s="7"/>
      <c r="H370" s="7"/>
    </row>
    <row r="371" spans="5:8">
      <c r="E371" s="7"/>
      <c r="H371" s="7"/>
    </row>
    <row r="372" spans="5:8">
      <c r="E372" s="7"/>
      <c r="H372" s="7"/>
    </row>
    <row r="373" spans="5:8">
      <c r="E373" s="7"/>
      <c r="H373" s="7"/>
    </row>
    <row r="374" spans="5:8">
      <c r="E374" s="7"/>
      <c r="H374" s="7"/>
    </row>
    <row r="375" spans="5:8">
      <c r="E375" s="7"/>
      <c r="H375" s="7"/>
    </row>
    <row r="376" spans="5:8">
      <c r="E376" s="7"/>
      <c r="H376" s="7"/>
    </row>
    <row r="377" spans="5:8">
      <c r="E377" s="7"/>
      <c r="H377" s="7"/>
    </row>
    <row r="378" spans="5:8">
      <c r="E378" s="7"/>
      <c r="H378" s="7"/>
    </row>
    <row r="379" spans="5:8">
      <c r="E379" s="7"/>
      <c r="H379" s="7"/>
    </row>
    <row r="380" spans="5:8">
      <c r="E380" s="7"/>
      <c r="H380" s="7"/>
    </row>
    <row r="381" spans="5:8">
      <c r="E381" s="7"/>
      <c r="H381" s="7"/>
    </row>
    <row r="382" spans="5:8">
      <c r="E382" s="7"/>
      <c r="H382" s="7"/>
    </row>
    <row r="383" spans="5:8">
      <c r="E383" s="7"/>
      <c r="H383" s="7"/>
    </row>
    <row r="384" spans="5:8">
      <c r="E384" s="7"/>
      <c r="H384" s="7"/>
    </row>
    <row r="385" spans="5:8">
      <c r="E385" s="7"/>
      <c r="H385" s="7"/>
    </row>
    <row r="386" spans="5:8">
      <c r="E386" s="7"/>
      <c r="H386" s="7"/>
    </row>
    <row r="387" spans="5:8">
      <c r="E387" s="7"/>
      <c r="H387" s="7"/>
    </row>
    <row r="388" spans="5:8">
      <c r="E388" s="7"/>
      <c r="H388" s="7"/>
    </row>
    <row r="389" spans="5:8">
      <c r="E389" s="7"/>
      <c r="H389" s="7"/>
    </row>
    <row r="390" spans="5:8">
      <c r="E390" s="7"/>
      <c r="H390" s="7"/>
    </row>
    <row r="391" spans="5:8">
      <c r="E391" s="7"/>
      <c r="H391" s="7"/>
    </row>
  </sheetData>
  <sheetProtection selectLockedCells="1" selectUnlockedCells="1"/>
  <mergeCells count="67">
    <mergeCell ref="A321:H321"/>
    <mergeCell ref="A328:H328"/>
    <mergeCell ref="A156:H156"/>
    <mergeCell ref="C3:H3"/>
    <mergeCell ref="C6:H6"/>
    <mergeCell ref="C4:D4"/>
    <mergeCell ref="C5:D5"/>
    <mergeCell ref="C7:D7"/>
    <mergeCell ref="C8:D8"/>
    <mergeCell ref="C9:D9"/>
    <mergeCell ref="A257:H257"/>
    <mergeCell ref="A261:H261"/>
    <mergeCell ref="A264:A303"/>
    <mergeCell ref="D264:D303"/>
    <mergeCell ref="E264:E303"/>
    <mergeCell ref="G264:G303"/>
    <mergeCell ref="H264:H303"/>
    <mergeCell ref="H199:H205"/>
    <mergeCell ref="A217:H217"/>
    <mergeCell ref="A231:H231"/>
    <mergeCell ref="A251:H251"/>
    <mergeCell ref="A199:A205"/>
    <mergeCell ref="D199:D205"/>
    <mergeCell ref="E199:E205"/>
    <mergeCell ref="G199:G205"/>
    <mergeCell ref="A163:H163"/>
    <mergeCell ref="A168:H168"/>
    <mergeCell ref="A198:H198"/>
    <mergeCell ref="C10:D10"/>
    <mergeCell ref="E10:H10"/>
    <mergeCell ref="B3:B10"/>
    <mergeCell ref="E4:H4"/>
    <mergeCell ref="E5:H5"/>
    <mergeCell ref="A1:A10"/>
    <mergeCell ref="A93:H93"/>
    <mergeCell ref="A100:H100"/>
    <mergeCell ref="A120:H120"/>
    <mergeCell ref="A136:A154"/>
    <mergeCell ref="D136:D154"/>
    <mergeCell ref="E136:E154"/>
    <mergeCell ref="G136:G154"/>
    <mergeCell ref="H136:H154"/>
    <mergeCell ref="H40:H50"/>
    <mergeCell ref="A66:H66"/>
    <mergeCell ref="A74:H74"/>
    <mergeCell ref="A85:H85"/>
    <mergeCell ref="A40:A50"/>
    <mergeCell ref="D40:D50"/>
    <mergeCell ref="E40:E50"/>
    <mergeCell ref="G40:G50"/>
    <mergeCell ref="A13:H13"/>
    <mergeCell ref="A20:H20"/>
    <mergeCell ref="A30:H30"/>
    <mergeCell ref="A34:A35"/>
    <mergeCell ref="C34:C35"/>
    <mergeCell ref="D34:D35"/>
    <mergeCell ref="E34:E35"/>
    <mergeCell ref="F34:F35"/>
    <mergeCell ref="G34:G35"/>
    <mergeCell ref="H34:H35"/>
    <mergeCell ref="B1:H1"/>
    <mergeCell ref="B2:H2"/>
    <mergeCell ref="C11:E11"/>
    <mergeCell ref="F11:H11"/>
    <mergeCell ref="E7:H7"/>
    <mergeCell ref="E8:H8"/>
    <mergeCell ref="E9:H9"/>
  </mergeCells>
  <phoneticPr fontId="11" type="noConversion"/>
  <pageMargins left="0.70000000000000007" right="0.70000000000000007" top="0.75" bottom="0.75" header="0.51181102362204722" footer="0.51181102362204722"/>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dimension ref="A1:B10"/>
  <sheetViews>
    <sheetView workbookViewId="0">
      <selection activeCell="B14" sqref="B14"/>
    </sheetView>
  </sheetViews>
  <sheetFormatPr defaultColWidth="8.6640625" defaultRowHeight="13.2"/>
  <cols>
    <col min="1" max="1" width="8.6640625" customWidth="1"/>
    <col min="2" max="2" width="78.109375" customWidth="1"/>
  </cols>
  <sheetData>
    <row r="1" spans="1:2">
      <c r="A1" t="s">
        <v>466</v>
      </c>
      <c r="B1" t="s">
        <v>467</v>
      </c>
    </row>
    <row r="2" spans="1:2" ht="15.6">
      <c r="A2" s="3" t="s">
        <v>468</v>
      </c>
      <c r="B2" t="s">
        <v>469</v>
      </c>
    </row>
    <row r="3" spans="1:2" ht="15.6">
      <c r="A3" s="3" t="s">
        <v>470</v>
      </c>
      <c r="B3" t="s">
        <v>471</v>
      </c>
    </row>
    <row r="4" spans="1:2" ht="15.6">
      <c r="A4" s="3" t="s">
        <v>472</v>
      </c>
      <c r="B4" t="s">
        <v>473</v>
      </c>
    </row>
    <row r="5" spans="1:2" ht="15.6">
      <c r="A5" s="3" t="s">
        <v>474</v>
      </c>
      <c r="B5" t="s">
        <v>475</v>
      </c>
    </row>
    <row r="6" spans="1:2" ht="15.6">
      <c r="A6" s="3" t="s">
        <v>476</v>
      </c>
      <c r="B6" t="s">
        <v>477</v>
      </c>
    </row>
    <row r="7" spans="1:2" ht="15.6">
      <c r="A7" s="3" t="s">
        <v>478</v>
      </c>
      <c r="B7" t="s">
        <v>479</v>
      </c>
    </row>
    <row r="8" spans="1:2" ht="15.6">
      <c r="A8" s="3" t="s">
        <v>480</v>
      </c>
      <c r="B8" t="s">
        <v>481</v>
      </c>
    </row>
    <row r="9" spans="1:2" ht="15.6">
      <c r="A9" s="3" t="s">
        <v>482</v>
      </c>
      <c r="B9" t="s">
        <v>483</v>
      </c>
    </row>
    <row r="10" spans="1:2" ht="15.6">
      <c r="A10" s="3" t="s">
        <v>484</v>
      </c>
      <c r="B10" t="s">
        <v>485</v>
      </c>
    </row>
  </sheetData>
  <sheetProtection selectLockedCells="1" selectUnlockedCells="1"/>
  <phoneticPr fontId="11" type="noConversion"/>
  <pageMargins left="0.70000000000000007" right="0.70000000000000007" top="0.75" bottom="0.75" header="0.51181102362204722" footer="0.51181102362204722"/>
  <pageSetup firstPageNumber="0"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529</TotalTime>
  <DocSecurity>0</DocSecurity>
  <ScaleCrop>false</ScaleCrop>
  <HeadingPairs>
    <vt:vector size="2" baseType="variant">
      <vt:variant>
        <vt:lpstr>Worksheets</vt:lpstr>
      </vt:variant>
      <vt:variant>
        <vt:i4>2</vt:i4>
      </vt:variant>
    </vt:vector>
  </HeadingPairs>
  <TitlesOfParts>
    <vt:vector size="2" baseType="lpstr">
      <vt:lpstr>VCL</vt:lpstr>
      <vt:lpstr>Glossary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Ricca</cp:lastModifiedBy>
  <cp:revision>1</cp:revision>
  <cp:lastPrinted>1601-01-01T00:00:00Z</cp:lastPrinted>
  <dcterms:created xsi:type="dcterms:W3CDTF">1601-01-01T00:00:00Z</dcterms:created>
  <dcterms:modified xsi:type="dcterms:W3CDTF">2026-08-14T18:08:46Z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